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DFIT\Desktop\Inception\Inception\Manufacturing\"/>
    </mc:Choice>
  </mc:AlternateContent>
  <xr:revisionPtr revIDLastSave="0" documentId="13_ncr:1_{B4DC65D3-96D4-4DFE-9F04-62000BFB446C}" xr6:coauthVersionLast="47" xr6:coauthVersionMax="47" xr10:uidLastSave="{00000000-0000-0000-0000-000000000000}"/>
  <bookViews>
    <workbookView xWindow="-120" yWindow="-120" windowWidth="29040" windowHeight="15720" activeTab="6" xr2:uid="{00000000-000D-0000-FFFF-FFFF00000000}"/>
  </bookViews>
  <sheets>
    <sheet name="Dashboard" sheetId="2" r:id="rId1"/>
    <sheet name="Sheet2" sheetId="6" r:id="rId2"/>
    <sheet name="MasterDatabse" sheetId="1" r:id="rId3"/>
    <sheet name="Privot" sheetId="3" r:id="rId4"/>
    <sheet name="Sheet3" sheetId="7" r:id="rId5"/>
    <sheet name="Sheet1" sheetId="5" r:id="rId6"/>
    <sheet name="Assignment" sheetId="4" r:id="rId7"/>
  </sheets>
  <definedNames>
    <definedName name="Slicer_Blood_Group">#N/A</definedName>
    <definedName name="Slicer_Department">#N/A</definedName>
    <definedName name="Slicer_Department1">#N/A</definedName>
    <definedName name="Slicer_Designation">#N/A</definedName>
    <definedName name="Slicer_Employee_Type">#N/A</definedName>
    <definedName name="Slicer_Gender">#N/A</definedName>
    <definedName name="Slicer_Marital_Status">#N/A</definedName>
    <definedName name="Slicer_Working_status">#N/A</definedName>
  </definedNames>
  <calcPr calcId="191028"/>
  <pivotCaches>
    <pivotCache cacheId="24" r:id="rId8"/>
    <pivotCache cacheId="38"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alcChain>
</file>

<file path=xl/sharedStrings.xml><?xml version="1.0" encoding="utf-8"?>
<sst xmlns="http://schemas.openxmlformats.org/spreadsheetml/2006/main" count="5061" uniqueCount="916">
  <si>
    <t>SL</t>
  </si>
  <si>
    <t>ID</t>
  </si>
  <si>
    <t>Name</t>
  </si>
  <si>
    <t>Department</t>
  </si>
  <si>
    <t>Designation</t>
  </si>
  <si>
    <t>Employee Category</t>
  </si>
  <si>
    <t>Employee Type</t>
  </si>
  <si>
    <t>Date of confirmation</t>
  </si>
  <si>
    <t>Date of Join</t>
  </si>
  <si>
    <t>Gender</t>
  </si>
  <si>
    <t>Marital Status</t>
  </si>
  <si>
    <t>Blood Group</t>
  </si>
  <si>
    <t>Present Address</t>
  </si>
  <si>
    <t>Distance</t>
  </si>
  <si>
    <t>ACX1</t>
  </si>
  <si>
    <t>Shanta Priya</t>
  </si>
  <si>
    <t>Packing Dept.</t>
  </si>
  <si>
    <t>Line Operator</t>
  </si>
  <si>
    <t xml:space="preserve">Management </t>
  </si>
  <si>
    <t>Permanent</t>
  </si>
  <si>
    <t>Male</t>
  </si>
  <si>
    <t>Single</t>
  </si>
  <si>
    <t>B+</t>
  </si>
  <si>
    <t>Gazipura 27</t>
  </si>
  <si>
    <t>1km -3km</t>
  </si>
  <si>
    <t>ACX2</t>
  </si>
  <si>
    <t>Md. Abdul Kader</t>
  </si>
  <si>
    <t>Administration Dept.</t>
  </si>
  <si>
    <t xml:space="preserve">Indiract </t>
  </si>
  <si>
    <t>Probation</t>
  </si>
  <si>
    <t>A+</t>
  </si>
  <si>
    <t>ACX3</t>
  </si>
  <si>
    <t>Md. Sagor Hossain</t>
  </si>
  <si>
    <t>Production Dept.</t>
  </si>
  <si>
    <t>Married</t>
  </si>
  <si>
    <t>O+</t>
  </si>
  <si>
    <t>Uttara</t>
  </si>
  <si>
    <t>5-10km</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</si>
  <si>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</si>
  <si>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</si>
  <si>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</si>
  <si>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</si>
  <si>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</si>
  <si>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</si>
  <si>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</si>
  <si>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</si>
  <si>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</si>
  <si>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</si>
  <si>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</si>
  <si>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</si>
  <si>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</si>
  <si>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</si>
  <si>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</si>
  <si>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</si>
  <si>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</si>
  <si>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</si>
  <si>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</si>
  <si>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</si>
  <si>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</si>
  <si>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</si>
  <si>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</si>
  <si>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</si>
  <si>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</si>
  <si>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</si>
  <si>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</si>
  <si>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</si>
  <si>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</si>
  <si>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</si>
  <si>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</si>
  <si>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</si>
  <si>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</si>
  <si>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</si>
  <si>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</si>
  <si>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</si>
  <si>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</si>
  <si>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</si>
  <si>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</si>
  <si>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</si>
  <si>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</si>
  <si>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</si>
  <si>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</si>
  <si>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</si>
  <si>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</si>
  <si>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</si>
  <si>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</si>
  <si>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</si>
  <si>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</si>
  <si>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</si>
  <si>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</si>
  <si>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</si>
  <si>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</si>
  <si>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</si>
  <si>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</si>
  <si>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</si>
  <si>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</si>
  <si>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</si>
  <si>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</si>
  <si>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</si>
  <si>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</si>
  <si>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</si>
  <si>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</si>
  <si>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</si>
  <si>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</si>
  <si>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</si>
  <si>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</si>
  <si>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</si>
  <si>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</si>
  <si>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</si>
  <si>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</si>
  <si>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</si>
  <si>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</si>
  <si>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</si>
  <si>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</si>
  <si>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</si>
  <si>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</si>
  <si>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</si>
  <si>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</si>
  <si>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</si>
  <si>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</si>
  <si>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</si>
  <si>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</si>
  <si>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</si>
  <si>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</si>
  <si>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</si>
  <si>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</si>
  <si>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</si>
  <si>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</si>
  <si>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</si>
  <si>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</si>
  <si>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</si>
  <si>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</si>
  <si>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</si>
  <si>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</si>
  <si>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</si>
  <si>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</si>
  <si>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</si>
  <si>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</si>
  <si>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</si>
  <si>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</si>
  <si>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</si>
  <si>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</si>
  <si>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</si>
  <si>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</si>
  <si>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</si>
  <si>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</si>
  <si>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</si>
  <si>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</si>
  <si>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</si>
  <si>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</si>
  <si>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</si>
  <si>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</si>
  <si>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</si>
  <si>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</si>
  <si>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</si>
  <si>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</si>
  <si>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</si>
  <si>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</si>
  <si>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</si>
  <si>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</si>
  <si>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</si>
  <si>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</si>
  <si>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</si>
  <si>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</si>
  <si>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</si>
  <si>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</si>
  <si>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</si>
  <si>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</si>
  <si>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</si>
  <si>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</si>
  <si>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</si>
  <si>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</si>
  <si>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</si>
  <si>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</si>
  <si>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</si>
  <si>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</si>
  <si>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</si>
  <si>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</si>
  <si>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</si>
  <si>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</si>
  <si>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</si>
  <si>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</si>
  <si>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</si>
  <si>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</si>
  <si>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</si>
  <si>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</si>
  <si>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</si>
  <si>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</si>
  <si>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</si>
  <si>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</si>
  <si>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</si>
  <si>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</si>
  <si>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</si>
  <si>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</si>
  <si>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</si>
  <si>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</si>
  <si>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</si>
  <si>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</si>
  <si>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</si>
  <si>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</si>
  <si>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</si>
  <si>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</si>
  <si>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</si>
  <si>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</si>
  <si>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</si>
  <si>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</si>
  <si>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</si>
  <si>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</si>
  <si>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</si>
  <si>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</si>
  <si>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</si>
  <si>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</si>
  <si>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</si>
  <si>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</si>
  <si>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</si>
  <si>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</si>
  <si>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</si>
  <si>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</si>
  <si>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</si>
  <si>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</si>
  <si>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</si>
  <si>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</si>
  <si>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</si>
  <si>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</si>
  <si>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</si>
  <si>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</si>
  <si>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</si>
  <si>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</si>
  <si>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</si>
  <si>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</si>
  <si>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</si>
  <si>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</si>
  <si>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</si>
  <si>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</si>
  <si>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</si>
  <si>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</si>
  <si>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</si>
  <si>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</si>
  <si>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</si>
  <si>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</si>
  <si>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</si>
  <si>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</si>
  <si>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</si>
  <si>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</si>
  <si>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</si>
  <si>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</si>
  <si>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</si>
  <si>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</si>
  <si>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</si>
  <si>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</si>
  <si>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</si>
  <si>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</si>
  <si>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</si>
  <si>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</si>
  <si>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</si>
  <si>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</si>
  <si>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</si>
  <si>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</si>
  <si>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</si>
  <si>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</si>
  <si>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</si>
  <si>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</si>
  <si>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</si>
  <si>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</si>
  <si>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</si>
  <si>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</si>
  <si>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</si>
  <si>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</si>
  <si>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</si>
  <si>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</si>
  <si>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</si>
  <si>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</si>
  <si>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</si>
  <si>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</si>
  <si>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</si>
  <si>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</si>
  <si>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</si>
  <si>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</si>
  <si>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</si>
  <si>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</si>
  <si>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</si>
  <si>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</si>
  <si>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</si>
  <si>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</si>
  <si>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</si>
  <si>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</si>
  <si>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</si>
  <si>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</si>
  <si>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</si>
  <si>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</si>
  <si>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</si>
  <si>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</si>
  <si>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</si>
  <si>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</si>
  <si>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</si>
  <si>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</si>
  <si>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</si>
  <si>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</si>
  <si>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</si>
  <si>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</si>
  <si>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</si>
  <si>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</si>
  <si>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</si>
  <si>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</si>
  <si>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</si>
  <si>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</si>
  <si>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</si>
  <si>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</si>
  <si>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</si>
  <si>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</si>
  <si>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</si>
  <si>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</si>
  <si>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</si>
  <si>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</si>
  <si>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</si>
  <si>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</si>
  <si>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</si>
  <si>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</si>
  <si>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</si>
  <si>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</si>
  <si>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</si>
  <si>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</si>
  <si>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</si>
  <si>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</si>
  <si>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</si>
  <si>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</si>
  <si>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</si>
  <si>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</si>
  <si>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</si>
  <si>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</si>
  <si>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</si>
  <si>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</si>
  <si>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</si>
  <si>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</si>
  <si>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</si>
  <si>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</si>
  <si>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</si>
  <si>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</si>
  <si>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</si>
  <si>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</si>
  <si>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</si>
  <si>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</si>
  <si>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</si>
  <si>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</si>
  <si>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</si>
  <si>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</si>
  <si>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</si>
  <si>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</si>
  <si>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</si>
  <si>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</si>
  <si>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</si>
  <si>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</si>
  <si>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</si>
  <si>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</si>
  <si>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</si>
  <si>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</si>
  <si>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</si>
  <si>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</si>
  <si>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</si>
  <si>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</si>
  <si>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</si>
  <si>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</si>
  <si>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</si>
  <si>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</si>
  <si>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</si>
  <si>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</si>
  <si>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</si>
  <si>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</si>
  <si>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</si>
  <si>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</si>
  <si>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</si>
  <si>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</si>
  <si>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</si>
  <si>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</si>
  <si>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</si>
  <si>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</si>
  <si>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</si>
  <si>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</si>
  <si>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</si>
  <si>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</si>
  <si>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</si>
  <si>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</si>
  <si>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</si>
  <si>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</si>
  <si>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</si>
  <si>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</si>
  <si>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</si>
  <si>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</si>
  <si>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</si>
  <si>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</si>
  <si>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</si>
  <si>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</si>
  <si>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</si>
  <si>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</si>
  <si>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</si>
  <si>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</si>
  <si>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</si>
  <si>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</si>
  <si>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</si>
  <si>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</si>
  <si>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</si>
  <si>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</si>
  <si>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</si>
  <si>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</si>
  <si>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</si>
  <si>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</si>
  <si>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</si>
  <si>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</si>
  <si>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</si>
  <si>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</si>
  <si>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</si>
  <si>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</si>
  <si>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</si>
  <si>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</si>
  <si>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</si>
  <si>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</si>
  <si>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</si>
  <si>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</si>
  <si>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</si>
  <si>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</si>
  <si>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</si>
  <si>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</si>
  <si>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</si>
  <si>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</si>
  <si>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</si>
  <si>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</si>
  <si>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</si>
  <si>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</si>
  <si>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</si>
  <si>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</si>
  <si>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</si>
  <si>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</si>
  <si>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</si>
  <si>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</si>
  <si>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</si>
  <si>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</si>
  <si>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</si>
  <si>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</si>
  <si>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</si>
  <si>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</si>
  <si>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</si>
  <si>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</si>
  <si>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</si>
  <si>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</si>
  <si>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</si>
  <si>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</si>
  <si>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</si>
  <si>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</si>
  <si>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</si>
  <si>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</si>
  <si>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</si>
  <si>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</si>
  <si>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</si>
  <si>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</si>
  <si>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</si>
  <si>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</si>
  <si>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</si>
  <si>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</si>
  <si>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</si>
  <si>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</si>
  <si>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</si>
  <si>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</si>
  <si>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</si>
  <si>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</si>
  <si>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</si>
  <si>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</si>
  <si>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</si>
  <si>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</si>
  <si>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</si>
  <si>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</si>
  <si>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</si>
  <si>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</si>
  <si>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</si>
  <si>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</si>
  <si>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</si>
  <si>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</si>
  <si>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</si>
  <si>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</si>
  <si>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</si>
  <si>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</si>
  <si>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</si>
  <si>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</si>
  <si>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</si>
  <si>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</si>
  <si>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</si>
  <si>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</si>
  <si>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</si>
  <si>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</si>
  <si>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</si>
  <si>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</si>
  <si>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</si>
  <si>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</si>
  <si>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</si>
  <si>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</si>
  <si>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</si>
  <si>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</si>
  <si>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</si>
  <si>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</si>
  <si>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</si>
  <si>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</si>
  <si>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</si>
  <si>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</si>
  <si>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</si>
  <si>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</si>
  <si>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</si>
  <si>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</si>
  <si>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</si>
  <si>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</si>
  <si>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</si>
  <si>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</si>
  <si>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</si>
  <si>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</si>
  <si>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</si>
  <si>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</si>
  <si>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</si>
  <si>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</si>
  <si>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</si>
  <si>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</si>
  <si>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</si>
  <si>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</si>
  <si>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</si>
  <si>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</si>
  <si>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</si>
  <si>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</si>
  <si>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</si>
  <si>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</si>
  <si>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</si>
  <si>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</si>
  <si>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</si>
  <si>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</si>
  <si>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</si>
  <si>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</si>
  <si>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</si>
  <si>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</si>
  <si>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</si>
  <si>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</si>
  <si>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</si>
  <si>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</si>
  <si>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</si>
  <si>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</si>
  <si>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</si>
  <si>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</si>
  <si>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</si>
  <si>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</si>
  <si>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</si>
  <si>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</si>
  <si>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</si>
  <si>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</si>
  <si>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</si>
  <si>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</si>
  <si>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</si>
  <si>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</si>
  <si>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</si>
  <si>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</si>
  <si>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</si>
  <si>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</si>
  <si>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</si>
  <si>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</si>
  <si>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</si>
  <si>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</si>
  <si>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</si>
  <si>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</si>
  <si>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</si>
  <si>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</si>
  <si>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</si>
  <si>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</si>
  <si>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</si>
  <si>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</si>
  <si>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</si>
  <si>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</si>
  <si>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</si>
  <si>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</si>
  <si>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</si>
  <si>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</si>
  <si>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</si>
  <si>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Product 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</si>
  <si>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</si>
  <si>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</si>
  <si>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</si>
  <si>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</si>
  <si>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</si>
  <si>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</si>
  <si>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</si>
  <si>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</si>
  <si>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</si>
  <si>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</si>
  <si>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</si>
  <si>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</si>
  <si>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</si>
  <si>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</si>
  <si>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</si>
  <si>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</si>
  <si>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</si>
  <si>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</si>
  <si>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</si>
  <si>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</si>
  <si>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</si>
  <si>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</si>
  <si>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</si>
  <si>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</si>
  <si>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</si>
  <si>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</si>
  <si>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</si>
  <si>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</si>
  <si>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</si>
  <si>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</si>
  <si>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</si>
  <si>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</si>
  <si>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</si>
  <si>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</si>
  <si>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</si>
  <si>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</si>
  <si>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</si>
  <si>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</si>
  <si>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</si>
  <si>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</si>
  <si>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</si>
  <si>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</si>
  <si>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</si>
  <si>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</si>
  <si>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</si>
  <si>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</si>
  <si>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</si>
  <si>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</si>
  <si>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</si>
  <si>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</si>
  <si>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</si>
  <si>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</si>
  <si>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</si>
  <si>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</si>
  <si>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</si>
  <si>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</si>
  <si>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</si>
  <si>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</si>
  <si>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</si>
  <si>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</si>
  <si>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</si>
  <si>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</si>
  <si>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</si>
  <si>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</si>
  <si>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</si>
  <si>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</si>
  <si>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</si>
  <si>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</si>
  <si>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</si>
  <si>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</si>
  <si>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</si>
  <si>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</si>
  <si>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</si>
  <si>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</si>
  <si>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</si>
  <si>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</si>
  <si>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</si>
  <si>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</si>
  <si>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</si>
  <si>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</si>
  <si>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</si>
  <si>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</si>
  <si>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</si>
  <si>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</si>
  <si>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</si>
  <si>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</si>
  <si>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</si>
  <si>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</si>
  <si>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</si>
  <si>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</si>
  <si>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</si>
  <si>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</si>
  <si>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</si>
  <si>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</si>
  <si>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</si>
  <si>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</si>
  <si>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</si>
  <si>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</si>
  <si>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</si>
  <si>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</si>
  <si>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</si>
  <si>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</si>
  <si>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</si>
  <si>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</si>
  <si>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</si>
  <si>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</si>
  <si>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</si>
  <si>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</si>
  <si>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</si>
  <si>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</si>
  <si>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</si>
  <si>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</si>
  <si>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</si>
  <si>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</si>
  <si>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</si>
  <si>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</si>
  <si>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</si>
  <si>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</si>
  <si>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</si>
  <si>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</si>
  <si>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</si>
  <si>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</si>
  <si>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</si>
  <si>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</si>
  <si>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</si>
  <si>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</si>
  <si>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</si>
  <si>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</si>
  <si>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</si>
  <si>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</si>
  <si>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</si>
  <si>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</si>
  <si>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</si>
  <si>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</si>
  <si>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</si>
  <si>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</si>
  <si>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</si>
  <si>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</si>
  <si>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</si>
  <si>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</si>
  <si>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</si>
  <si>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</si>
  <si>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</si>
  <si>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</si>
  <si>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</si>
  <si>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</si>
  <si>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</si>
  <si>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</si>
  <si>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</si>
  <si>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</si>
  <si>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</si>
  <si>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</si>
  <si>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</si>
  <si>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</si>
  <si>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</si>
  <si>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</si>
  <si>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</si>
  <si>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</si>
  <si>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</si>
  <si>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</si>
  <si>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</si>
  <si>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</si>
  <si>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</si>
  <si>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</si>
  <si>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</si>
  <si>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</si>
  <si>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</si>
  <si>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</si>
  <si>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</si>
  <si>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</si>
  <si>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</si>
  <si>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</si>
  <si>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</si>
  <si>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</si>
  <si>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</si>
  <si>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</si>
  <si>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</si>
  <si>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</si>
  <si>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</si>
  <si>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</si>
  <si>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</si>
  <si>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</si>
  <si>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</si>
  <si>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</si>
  <si>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</si>
  <si>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</si>
  <si>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</si>
  <si>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</si>
  <si>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</si>
  <si>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</si>
  <si>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</si>
  <si>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</si>
  <si>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</si>
  <si>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</si>
  <si>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</si>
  <si>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</si>
  <si>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</si>
  <si>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</si>
  <si>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</si>
  <si>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</si>
  <si>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</si>
  <si>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</si>
  <si>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</si>
  <si>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</si>
  <si>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</si>
  <si>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</si>
  <si>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</si>
  <si>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</si>
  <si>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</si>
  <si>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</si>
  <si>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</si>
  <si>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</si>
  <si>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</si>
  <si>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</si>
  <si>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</si>
  <si>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</si>
  <si>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</si>
  <si>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</si>
  <si>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</si>
  <si>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</si>
  <si>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</si>
  <si>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</si>
  <si>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</si>
  <si>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</si>
  <si>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</si>
  <si>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</si>
  <si>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</si>
  <si>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</si>
  <si>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</si>
  <si>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</si>
  <si>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</si>
  <si>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</si>
  <si>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</si>
  <si>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</si>
  <si>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</si>
  <si>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</si>
  <si>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</si>
  <si>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</si>
  <si>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</si>
  <si>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</si>
  <si>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</si>
  <si>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</si>
  <si>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</si>
  <si>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</si>
  <si>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</si>
  <si>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</si>
  <si>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</si>
  <si>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</si>
  <si>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</si>
  <si>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</si>
  <si>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</si>
  <si>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</si>
  <si>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</si>
  <si>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Muhammad Hossain Al Fahim</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</si>
  <si>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</si>
  <si>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</si>
  <si>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</si>
  <si>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</si>
  <si>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</si>
  <si>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</si>
  <si>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</si>
  <si>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</si>
  <si>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</si>
  <si>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</si>
  <si>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</si>
  <si>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</si>
  <si>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</si>
  <si>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</si>
  <si>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</si>
  <si>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</si>
  <si>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</si>
  <si>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</si>
  <si>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</si>
  <si>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</si>
  <si>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</si>
  <si>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</si>
  <si>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</si>
  <si>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</si>
  <si>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</si>
  <si>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</si>
  <si>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Abdullah Al Ripon</t>
  </si>
  <si>
    <t>Kaliakoir</t>
  </si>
  <si>
    <t>Count of SL</t>
  </si>
  <si>
    <t>Total Employees</t>
  </si>
  <si>
    <t>Employee by Department.</t>
  </si>
  <si>
    <t>Employee by Desg.</t>
  </si>
  <si>
    <t>Row Labels</t>
  </si>
  <si>
    <t>Baisc Salary</t>
  </si>
  <si>
    <t>Active</t>
  </si>
  <si>
    <t>Grand Total</t>
  </si>
  <si>
    <t>Working status</t>
  </si>
  <si>
    <t>Resigned</t>
  </si>
  <si>
    <t>Fire</t>
  </si>
  <si>
    <t>Count of Working status</t>
  </si>
  <si>
    <t>​1. Workforce Composition (Headcount)</t>
  </si>
  <si>
    <t>​Departmental Split: How many employees are in each department (e.g., Production, Quality, Packing)?</t>
  </si>
  <si>
    <t>​Designation Breakdown: Which designations (e.g., Line Operator, Loader) have the highest number of employees?</t>
  </si>
  <si>
    <t>​Employee Category: What is the ratio of Management to Direct/Indirect workers?</t>
  </si>
  <si>
    <t>​2. Salary &amp; Financial Analysis</t>
  </si>
  <si>
    <t>​Total Monthly Payroll: What is the total "Basic Salary" expenditure per month?</t>
  </si>
  <si>
    <t>​Average Salary by Department: Which department has the highest and lowest average basic salary?</t>
  </si>
  <si>
    <t>​Salary by Designation: What is the average salary for a "Line Operator" versus other roles?</t>
  </si>
  <si>
    <t>​Salary vs. Employee Type: How does the salary differ between "Permanent" and "Probation" employees?</t>
  </si>
  <si>
    <t>​3. Recruitment &amp; Retention</t>
  </si>
  <si>
    <t>​Hiring Trends: How many employees were joined in each month or quarter? (Time-series analysis)</t>
  </si>
  <si>
    <t>​Employee Status: What percentage of employees are currently "Active" vs. "Resigned" or "Fire"?</t>
  </si>
  <si>
    <t>​Confirmation Pipeline: How many employees are currently in their "Probation" period vs. "Permanent"?</t>
  </si>
  <si>
    <t>​4. Employee Demographics &amp; Logistics</t>
  </si>
  <si>
    <t>​Gender Diversity: What is the male-to-female ratio across different departments?</t>
  </si>
  <si>
    <t>​Commute Analysis: How many employees live within 1–3km vs. those living 10–15km away? (Useful for transport planning).</t>
  </si>
  <si>
    <t>​Marital Status &amp; Health: What is the distribution of Marital Status and Blood Groups (useful for HR records and emergency planning)?</t>
  </si>
  <si>
    <t>​Suggested Dashboard Layout (Visuals)</t>
  </si>
  <si>
    <t>​To answer these questions, your Excel dashboard should include:</t>
  </si>
  <si>
    <t>​Slicers (Filters): Department, Working Status, Gender, and Employee Category to make the dashboard interactiv</t>
  </si>
  <si>
    <t>​1. KPI Cards: Total Employees, Total Basic Salary, Active Employees, Average Salary.</t>
  </si>
  <si>
    <t>​2. Bar Chart: Number of Employees by Department (sorted).</t>
  </si>
  <si>
    <t>​3. Pie/Donut Chart: Gender Distribution and Employee Type (Permanent vs. Probation).</t>
  </si>
  <si>
    <t>​5. Line Chart: Number of Joinees by Month (using Date of Join).</t>
  </si>
  <si>
    <t>Key Metrics</t>
  </si>
  <si>
    <t>Total Headcount: What is the total number of employees currently on the payroll?</t>
  </si>
  <si>
    <t>​4. Bar Chart: Average Salary by Designation.</t>
  </si>
  <si>
    <t>1. Data cleaning</t>
  </si>
  <si>
    <t>Tablem design</t>
  </si>
  <si>
    <t>Privote summary</t>
  </si>
  <si>
    <t>Slicer</t>
  </si>
  <si>
    <t>Chat</t>
  </si>
  <si>
    <t>Sum of Baisc Salary</t>
  </si>
  <si>
    <t>2023</t>
  </si>
  <si>
    <t>2024</t>
  </si>
  <si>
    <t>Count of Name</t>
  </si>
  <si>
    <t>Mar</t>
  </si>
  <si>
    <t>May</t>
  </si>
  <si>
    <t>Jun</t>
  </si>
  <si>
    <t>Jul</t>
  </si>
  <si>
    <t>Aug</t>
  </si>
  <si>
    <t>Sep</t>
  </si>
  <si>
    <t>Nov</t>
  </si>
  <si>
    <t>Dec</t>
  </si>
  <si>
    <t>Jan</t>
  </si>
  <si>
    <t>Feb</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</si>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</sst>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409]d\-mmm\-yy;@"/>
    <numFmt numFmtId="166" formatCode="_-* #,##0_-;\-* #,##0_-;_-* &quot;-&quot;??_-;_-@_-"/>
  </numFmts>
  <fonts count="6" x14ac:knownFonts="1">
    <font>
      <sz val="11"/>
      <color theme="1"/>
      <name val="Calibri"/>
      <family val="2"/>
      <scheme val="minor"/>
    </font>
    <font>
      <sz val="11"/>
      <color theme="1"/>
      <name val="Calibri"/>
      <family val="2"/>
      <scheme val="minor"/>
    </font>
    <font>
      <sz val="8"/>
      <name val="Calibri"/>
      <family val="2"/>
      <scheme val="minor"/>
    </font>
    <font>
      <sz val="11"/>
      <color theme="0"/>
      <name val="Calibri"/>
      <family val="2"/>
      <scheme val="minor"/>
    </font>
    <font>
      <sz val="14"/>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202022"/>
        <bgColor indexed="64"/>
      </patternFill>
    </fill>
    <fill>
      <patternFill patternType="solid">
        <fgColor theme="1" tint="0.14999847407452621"/>
        <bgColor indexed="64"/>
      </patternFill>
    </fill>
    <fill>
      <patternFill patternType="solid">
        <fgColor theme="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8">
    <xf numFmtId="0" fontId="0" fillId="0" borderId="0" xfId="0"/>
    <xf numFmtId="0" fontId="0" fillId="0" borderId="0" xfId="0" applyAlignment="1">
      <alignment horizontal="center" vertical="center"/>
    </xf>
    <xf numFmtId="0" fontId="0" fillId="0" borderId="0" xfId="0" applyAlignment="1">
      <alignment horizontal="left" vertical="center"/>
    </xf>
    <xf numFmtId="165" fontId="0" fillId="0" borderId="0" xfId="0" applyNumberFormat="1" applyAlignment="1">
      <alignment horizontal="center" vertical="center"/>
    </xf>
    <xf numFmtId="165" fontId="0" fillId="0" borderId="0" xfId="0" applyNumberFormat="1" applyAlignment="1">
      <alignment horizontal="left" vertical="center"/>
    </xf>
    <xf numFmtId="0" fontId="0" fillId="2" borderId="0" xfId="0" applyFill="1"/>
    <xf numFmtId="0" fontId="0" fillId="0" borderId="0" xfId="0" pivotButton="1"/>
    <xf numFmtId="0" fontId="0" fillId="0" borderId="0" xfId="0" applyAlignment="1">
      <alignment horizontal="left"/>
    </xf>
    <xf numFmtId="166" fontId="0" fillId="0" borderId="0" xfId="1" applyNumberFormat="1" applyFont="1"/>
    <xf numFmtId="166" fontId="0" fillId="0" borderId="0" xfId="1" applyNumberFormat="1" applyFont="1" applyAlignment="1">
      <alignment horizontal="center" vertical="center"/>
    </xf>
    <xf numFmtId="0" fontId="0" fillId="3" borderId="0" xfId="0" applyFill="1"/>
    <xf numFmtId="0" fontId="3" fillId="4" borderId="0" xfId="0" applyFont="1" applyFill="1" applyAlignment="1">
      <alignment horizontal="center" vertical="center"/>
    </xf>
    <xf numFmtId="0" fontId="4" fillId="4" borderId="0" xfId="0" applyFont="1" applyFill="1" applyAlignment="1">
      <alignment horizontal="center" vertical="center"/>
    </xf>
    <xf numFmtId="0" fontId="5" fillId="0" borderId="0" xfId="0" applyFont="1"/>
    <xf numFmtId="0" fontId="0" fillId="0" borderId="0" xfId="0" applyNumberFormat="1"/>
    <xf numFmtId="166" fontId="0" fillId="0" borderId="0" xfId="0" applyNumberFormat="1"/>
    <xf numFmtId="0" fontId="0" fillId="0" borderId="0" xfId="0" applyAlignment="1">
      <alignment horizontal="left" indent="1"/>
    </xf>
    <xf numFmtId="165" fontId="0" fillId="0" borderId="0" xfId="0" applyNumberFormat="1" applyAlignment="1">
      <alignment horizontal="left" indent="2"/>
    </xf>
  </cellXfs>
  <cellStyles count="2">
    <cellStyle name="Comma" xfId="1" builtinId="3"/>
    <cellStyle name="Normal" xfId="0" builtinId="0"/>
  </cellStyles>
  <dxfs count="25">
    <dxf>
      <fill>
        <patternFill patternType="none">
          <bgColor auto="1"/>
        </patternFill>
      </fill>
    </dxf>
    <dxf>
      <fill>
        <patternFill patternType="none">
          <bgColor auto="1"/>
        </patternFill>
      </fill>
    </dxf>
    <dxf>
      <numFmt numFmtId="166" formatCode="_-* #,##0_-;\-* #,##0_-;_-* &quot;-&quot;??_-;_-@_-"/>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5" formatCode="[$-409]d\-mmm\-yy;@"/>
      <alignment horizontal="left" vertical="center" textRotation="0" wrapText="0" indent="0" justifyLastLine="0" shrinkToFit="0" readingOrder="0"/>
    </dxf>
    <dxf>
      <numFmt numFmtId="165" formatCode="[$-409]d\-mmm\-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
      <font>
        <color theme="0"/>
      </font>
      <fill>
        <patternFill>
          <bgColor theme="1" tint="0.14996795556505021"/>
        </patternFill>
      </fill>
    </dxf>
    <dxf>
      <fill>
        <patternFill>
          <bgColor theme="5"/>
        </patternFill>
      </fill>
    </dxf>
    <dxf>
      <font>
        <color theme="0"/>
      </font>
      <fill>
        <patternFill>
          <bgColor theme="1" tint="0.14996795556505021"/>
        </patternFill>
      </fill>
    </dxf>
  </dxfs>
  <tableStyles count="5" defaultTableStyle="TableStyleMedium2" defaultPivotStyle="PivotStyleLight16">
    <tableStyle name="Slicer Style 1" pivot="0" table="0" count="5" xr9:uid="{D6A33267-E998-4802-B5FD-008829FED2CF}">
      <tableStyleElement type="wholeTable" dxfId="24"/>
      <tableStyleElement type="headerRow" dxfId="23"/>
    </tableStyle>
    <tableStyle name="Slicer Style 2" pivot="0" table="0" count="3" xr9:uid="{C5CC4413-9190-497C-BF8C-104AB874ADAD}">
      <tableStyleElement type="wholeTable" dxfId="22"/>
    </tableStyle>
    <tableStyle name="Slicer Style 3" pivot="0" table="0" count="2" xr9:uid="{4C184728-5528-4B60-B967-2B4B6E28B897}">
      <tableStyleElement type="headerRow" dxfId="1"/>
    </tableStyle>
    <tableStyle name="Slicer Style 4" pivot="0" table="0" count="1" xr9:uid="{763ADAC7-8A10-49A5-9EC1-EF6B1D9E024E}">
      <tableStyleElement type="wholeTable" dxfId="0"/>
    </tableStyle>
    <tableStyle name="SlicerStyleLight1 2" pivot="0" table="0" count="10" xr9:uid="{B5A3B4E4-3FB3-458D-B8FA-3EEF522F82AF}">
      <tableStyleElement type="wholeTable" dxfId="21"/>
      <tableStyleElement type="headerRow" dxfId="20"/>
    </tableStyle>
  </tableStyles>
  <colors>
    <mruColors>
      <color rgb="FF9C3E00"/>
      <color rgb="FF333333"/>
      <color rgb="FF202022"/>
      <color rgb="FF878787"/>
      <color rgb="FF161F30"/>
      <color rgb="FF004C50"/>
      <color rgb="FF023535"/>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theme="3"/>
            </patternFill>
          </fill>
          <border>
            <left style="thin">
              <color auto="1"/>
            </left>
            <right style="thin">
              <color auto="1"/>
            </right>
            <top style="thin">
              <color auto="1"/>
            </top>
            <bottom style="thin">
              <color auto="1"/>
            </bottom>
          </border>
        </dxf>
        <dxf>
          <fill>
            <patternFill>
              <bgColor theme="3"/>
            </patternFill>
          </fill>
        </dxf>
        <dxf>
          <fill>
            <patternFill>
              <bgColor theme="0"/>
            </patternFill>
          </fill>
        </dxf>
        <dxf>
          <font>
            <color theme="0"/>
          </font>
          <fill>
            <patternFill>
              <bgColor theme="5"/>
            </patternFill>
          </fill>
          <border>
            <left style="thin">
              <color auto="1"/>
            </left>
            <right style="thin">
              <color auto="1"/>
            </right>
            <top style="thin">
              <color auto="1"/>
            </top>
            <bottom style="thin">
              <color auto="1"/>
            </bottom>
          </border>
        </dxf>
        <dxf>
          <fill>
            <patternFill>
              <bgColor theme="3"/>
            </patternFill>
          </fill>
        </dxf>
      </x14:dxfs>
    </ext>
    <ext xmlns:x14="http://schemas.microsoft.com/office/spreadsheetml/2009/9/main" uri="{EB79DEF2-80B8-43e5-95BD-54CBDDF9020C}">
      <x14:slicerStyles defaultSlicerStyle="Slicer Style 4">
        <x14:slicerStyle name="Slicer Style 1">
          <x14:slicerStyleElements>
            <x14:slicerStyleElement type="unselectedItemWithData" dxfId="12"/>
            <x14:slicerStyleElement type="selectedItemWithData" dxfId="11"/>
            <x14:slicerStyleElement type="selectedItemWithNoData" dxfId="10"/>
          </x14:slicerStyleElements>
        </x14:slicerStyle>
        <x14:slicerStyle name="Slicer Style 2">
          <x14:slicerStyleElements>
            <x14:slicerStyleElement type="selectedItemWithData" dxfId="9"/>
            <x14:slicerStyleElement type="selectedItemWithNoData" dxfId="8"/>
          </x14:slicerStyleElements>
        </x14:slicerStyle>
        <x14:slicerStyle name="Slicer Style 3"/>
        <x14:slicerStyle name="Slicer Style 4"/>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dLbl>
          <c:idx val="0"/>
          <c:layout>
            <c:manualLayout>
              <c:x val="3.6393705912195016E-3"/>
              <c:y val="-7.834667328012302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Privot!$C$22</c:f>
              <c:strCache>
                <c:ptCount val="1"/>
                <c:pt idx="0">
                  <c:v>Total</c:v>
                </c:pt>
              </c:strCache>
            </c:strRef>
          </c:tx>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invertIfNegative val="0"/>
          <c:dPt>
            <c:idx val="5"/>
            <c:invertIfNegative val="0"/>
            <c:bubble3D val="0"/>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extLst>
              <c:ext xmlns:c16="http://schemas.microsoft.com/office/drawing/2014/chart" uri="{C3380CC4-5D6E-409C-BE32-E72D297353CC}">
                <c16:uniqueId val="{00000000-5962-4E79-8034-D725220730CE}"/>
              </c:ext>
            </c:extLst>
          </c:dPt>
          <c:dLbls>
            <c:dLbl>
              <c:idx val="5"/>
              <c:layout>
                <c:manualLayout>
                  <c:x val="3.6393705912195016E-3"/>
                  <c:y val="-7.834667328012302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62-4E79-8034-D72522073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Privot!$B$23:$B$32</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Privot!$C$23:$C$32</c:f>
              <c:numCache>
                <c:formatCode>General</c:formatCode>
                <c:ptCount val="10"/>
                <c:pt idx="0">
                  <c:v>5</c:v>
                </c:pt>
                <c:pt idx="1">
                  <c:v>2</c:v>
                </c:pt>
                <c:pt idx="2">
                  <c:v>2</c:v>
                </c:pt>
                <c:pt idx="3">
                  <c:v>15</c:v>
                </c:pt>
                <c:pt idx="4">
                  <c:v>11</c:v>
                </c:pt>
                <c:pt idx="5">
                  <c:v>363</c:v>
                </c:pt>
                <c:pt idx="6">
                  <c:v>2</c:v>
                </c:pt>
                <c:pt idx="7">
                  <c:v>5</c:v>
                </c:pt>
                <c:pt idx="8">
                  <c:v>3</c:v>
                </c:pt>
                <c:pt idx="9">
                  <c:v>1</c:v>
                </c:pt>
              </c:numCache>
            </c:numRef>
          </c:val>
          <c:extLst>
            <c:ext xmlns:c16="http://schemas.microsoft.com/office/drawing/2014/chart" uri="{C3380CC4-5D6E-409C-BE32-E72D297353CC}">
              <c16:uniqueId val="{00000002-ECEC-4CC2-8F9F-25C070DCB718}"/>
            </c:ext>
          </c:extLst>
        </c:ser>
        <c:dLbls>
          <c:dLblPos val="inEnd"/>
          <c:showLegendKey val="0"/>
          <c:showVal val="1"/>
          <c:showCatName val="0"/>
          <c:showSerName val="0"/>
          <c:showPercent val="0"/>
          <c:showBubbleSize val="0"/>
        </c:dLbls>
        <c:gapWidth val="182"/>
        <c:overlap val="-50"/>
        <c:axId val="476181504"/>
        <c:axId val="476196480"/>
      </c:barChart>
      <c:catAx>
        <c:axId val="47618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6196480"/>
        <c:crosses val="autoZero"/>
        <c:auto val="1"/>
        <c:lblAlgn val="ctr"/>
        <c:lblOffset val="100"/>
        <c:noMultiLvlLbl val="0"/>
      </c:catAx>
      <c:valAx>
        <c:axId val="476196480"/>
        <c:scaling>
          <c:orientation val="minMax"/>
        </c:scaling>
        <c:delete val="1"/>
        <c:axPos val="b"/>
        <c:numFmt formatCode="General" sourceLinked="1"/>
        <c:majorTickMark val="none"/>
        <c:minorTickMark val="none"/>
        <c:tickLblPos val="nextTo"/>
        <c:crossAx val="47618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cap="flat" cmpd="sng" algn="ctr">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00B050"/>
              </a:gs>
              <a:gs pos="93000">
                <a:srgbClr val="4E7728"/>
              </a:gs>
              <a:gs pos="49000">
                <a:srgbClr val="9C3E00"/>
              </a:gs>
            </a:gsLst>
            <a:lin ang="5400000" scaled="1"/>
          </a:gradFill>
          <a:ln>
            <a:noFill/>
          </a:ln>
          <a:effectLst>
            <a:outerShdw blurRad="57150" dist="19050" dir="5400000" algn="ctr" rotWithShape="0">
              <a:srgbClr val="000000">
                <a:alpha val="63000"/>
              </a:srgbClr>
            </a:outerShdw>
          </a:effectLst>
        </c:spPr>
      </c:pivotFmt>
      <c:pivotFmt>
        <c:idx val="4"/>
        <c:spPr>
          <a:solidFill>
            <a:schemeClr val="bg1">
              <a:lumMod val="95000"/>
            </a:schemeClr>
          </a:solidFill>
          <a:ln>
            <a:noFill/>
          </a:ln>
          <a:effectLst>
            <a:outerShdw blurRad="57150" dist="19050" dir="5400000" algn="ctr" rotWithShape="0">
              <a:srgbClr val="000000">
                <a:alpha val="63000"/>
              </a:srgbClr>
            </a:outerShdw>
          </a:effectLst>
        </c:spPr>
      </c:pivotFmt>
      <c:pivotFmt>
        <c:idx val="5"/>
        <c:spPr>
          <a:gradFill rotWithShape="1">
            <a:gsLst>
              <a:gs pos="0">
                <a:srgbClr val="FFFF00"/>
              </a:gs>
              <a:gs pos="93000">
                <a:schemeClr val="tx2"/>
              </a:gs>
              <a:gs pos="49000">
                <a:srgbClr val="9C3E00"/>
              </a:gs>
            </a:gsLst>
            <a:lin ang="5400000" scaled="1"/>
          </a:gradFill>
          <a:ln>
            <a:noFill/>
          </a:ln>
          <a:effectLst>
            <a:outerShdw blurRad="57150" dist="19050" dir="5400000" algn="ctr" rotWithShape="0">
              <a:srgbClr val="000000">
                <a:alpha val="63000"/>
              </a:srgbClr>
            </a:outerShdw>
          </a:effectLst>
        </c:spPr>
      </c:pivotFmt>
      <c:pivotFmt>
        <c:idx val="6"/>
        <c:spPr>
          <a:gradFill rotWithShape="1">
            <a:gsLst>
              <a:gs pos="0">
                <a:schemeClr val="accent4">
                  <a:lumMod val="50000"/>
                </a:schemeClr>
              </a:gs>
              <a:gs pos="93000">
                <a:schemeClr val="accent4">
                  <a:lumMod val="50000"/>
                </a:schemeClr>
              </a:gs>
              <a:gs pos="49000">
                <a:schemeClr val="tx2"/>
              </a:gs>
            </a:gsLst>
            <a:lin ang="5400000" scaled="1"/>
          </a:gradFill>
          <a:ln>
            <a:noFill/>
          </a:ln>
          <a:effectLst>
            <a:outerShdw blurRad="57150" dist="19050" dir="5400000" algn="ctr" rotWithShape="0">
              <a:srgbClr val="000000">
                <a:alpha val="63000"/>
              </a:srgbClr>
            </a:outerShdw>
          </a:effectLst>
        </c:spPr>
      </c:pivotFmt>
      <c:pivotFmt>
        <c:idx val="7"/>
        <c:spPr>
          <a:solidFill>
            <a:srgbClr val="7030A0"/>
          </a:solidFill>
          <a:ln>
            <a:noFill/>
          </a:ln>
          <a:effectLst>
            <a:outerShdw blurRad="57150" dist="19050" dir="5400000" algn="ctr" rotWithShape="0">
              <a:srgbClr val="000000">
                <a:alpha val="63000"/>
              </a:srgbClr>
            </a:outerShdw>
          </a:effectLst>
        </c:spPr>
      </c:pivotFmt>
      <c:pivotFmt>
        <c:idx val="8"/>
        <c:spPr>
          <a:solidFill>
            <a:srgbClr val="9C3E00"/>
          </a:solidFill>
          <a:ln>
            <a:noFill/>
          </a:ln>
          <a:effectLst>
            <a:outerShdw blurRad="57150" dist="19050" dir="5400000" algn="ctr" rotWithShape="0">
              <a:srgbClr val="000000">
                <a:alpha val="63000"/>
              </a:srgbClr>
            </a:outerShdw>
          </a:effectLst>
        </c:spPr>
      </c:pivotFmt>
      <c:pivotFmt>
        <c:idx val="9"/>
        <c:spPr>
          <a:gradFill rotWithShape="1">
            <a:gsLst>
              <a:gs pos="0">
                <a:schemeClr val="accent1"/>
              </a:gs>
              <a:gs pos="93000">
                <a:schemeClr val="accent1"/>
              </a:gs>
              <a:gs pos="49000">
                <a:srgbClr val="9C3E00"/>
              </a:gs>
            </a:gsLst>
            <a:lin ang="5400000" scaled="1"/>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647888544185866"/>
          <c:y val="8.3594566353187044E-2"/>
          <c:w val="0.82300266614826312"/>
          <c:h val="0.49632359490975231"/>
        </c:manualLayout>
      </c:layout>
      <c:barChart>
        <c:barDir val="col"/>
        <c:grouping val="clustered"/>
        <c:varyColors val="0"/>
        <c:ser>
          <c:idx val="0"/>
          <c:order val="0"/>
          <c:tx>
            <c:strRef>
              <c:f>Privot!$C$12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57-4966-9124-D0E964575F03}"/>
              </c:ext>
            </c:extLst>
          </c:dPt>
          <c:dPt>
            <c:idx val="1"/>
            <c:invertIfNegative val="0"/>
            <c:bubble3D val="0"/>
            <c:spPr>
              <a:solidFill>
                <a:srgbClr val="9C3E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57-4966-9124-D0E964575F03}"/>
              </c:ext>
            </c:extLst>
          </c:dPt>
          <c:dPt>
            <c:idx val="2"/>
            <c:invertIfNegative val="0"/>
            <c:bubble3D val="0"/>
            <c:spPr>
              <a:gradFill rotWithShape="1">
                <a:gsLst>
                  <a:gs pos="0">
                    <a:schemeClr val="accent4">
                      <a:lumMod val="50000"/>
                    </a:schemeClr>
                  </a:gs>
                  <a:gs pos="93000">
                    <a:schemeClr val="accent4">
                      <a:lumMod val="50000"/>
                    </a:schemeClr>
                  </a:gs>
                  <a:gs pos="49000">
                    <a:schemeClr val="tx2"/>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57-4966-9124-D0E964575F03}"/>
              </c:ext>
            </c:extLst>
          </c:dPt>
          <c:dPt>
            <c:idx val="3"/>
            <c:invertIfNegative val="0"/>
            <c:bubble3D val="0"/>
            <c:spPr>
              <a:gradFill rotWithShape="1">
                <a:gsLst>
                  <a:gs pos="0">
                    <a:srgbClr val="FFFF00"/>
                  </a:gs>
                  <a:gs pos="93000">
                    <a:schemeClr val="tx2"/>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57-4966-9124-D0E964575F03}"/>
              </c:ext>
            </c:extLst>
          </c:dPt>
          <c:dPt>
            <c:idx val="4"/>
            <c:invertIfNegative val="0"/>
            <c:bubble3D val="0"/>
            <c:spPr>
              <a:solidFill>
                <a:schemeClr val="bg1">
                  <a:lumMod val="9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57-4966-9124-D0E964575F03}"/>
              </c:ext>
            </c:extLst>
          </c:dPt>
          <c:dPt>
            <c:idx val="5"/>
            <c:invertIfNegative val="0"/>
            <c:bubble3D val="0"/>
            <c:spPr>
              <a:gradFill rotWithShape="1">
                <a:gsLst>
                  <a:gs pos="0">
                    <a:schemeClr val="accent1"/>
                  </a:gs>
                  <a:gs pos="93000">
                    <a:schemeClr val="accent1"/>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5C6-4D7A-8F05-F588F8A0BAC2}"/>
              </c:ext>
            </c:extLst>
          </c:dPt>
          <c:dPt>
            <c:idx val="6"/>
            <c:invertIfNegative val="0"/>
            <c:bubble3D val="0"/>
            <c:spPr>
              <a:gradFill rotWithShape="1">
                <a:gsLst>
                  <a:gs pos="0">
                    <a:srgbClr val="00B050"/>
                  </a:gs>
                  <a:gs pos="93000">
                    <a:srgbClr val="4E7728"/>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357-4966-9124-D0E964575F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Privot!$B$13:$B$19</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Privot!$C$13:$C$19</c:f>
              <c:numCache>
                <c:formatCode>General</c:formatCode>
                <c:ptCount val="7"/>
                <c:pt idx="0">
                  <c:v>4</c:v>
                </c:pt>
                <c:pt idx="1">
                  <c:v>1</c:v>
                </c:pt>
                <c:pt idx="2">
                  <c:v>93</c:v>
                </c:pt>
                <c:pt idx="3">
                  <c:v>28</c:v>
                </c:pt>
                <c:pt idx="4">
                  <c:v>3</c:v>
                </c:pt>
                <c:pt idx="5">
                  <c:v>154</c:v>
                </c:pt>
                <c:pt idx="6">
                  <c:v>126</c:v>
                </c:pt>
              </c:numCache>
            </c:numRef>
          </c:val>
          <c:extLst>
            <c:ext xmlns:c16="http://schemas.microsoft.com/office/drawing/2014/chart" uri="{C3380CC4-5D6E-409C-BE32-E72D297353CC}">
              <c16:uniqueId val="{0000000E-B381-4C69-838C-0AAD41CC78E1}"/>
            </c:ext>
          </c:extLst>
        </c:ser>
        <c:dLbls>
          <c:dLblPos val="outEnd"/>
          <c:showLegendKey val="0"/>
          <c:showVal val="1"/>
          <c:showCatName val="0"/>
          <c:showSerName val="0"/>
          <c:showPercent val="0"/>
          <c:showBubbleSize val="0"/>
        </c:dLbls>
        <c:gapWidth val="100"/>
        <c:overlap val="-24"/>
        <c:axId val="425434016"/>
        <c:axId val="425435264"/>
      </c:barChart>
      <c:catAx>
        <c:axId val="425434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5264"/>
        <c:crosses val="autoZero"/>
        <c:auto val="1"/>
        <c:lblAlgn val="ctr"/>
        <c:lblOffset val="100"/>
        <c:noMultiLvlLbl val="0"/>
      </c:catAx>
      <c:valAx>
        <c:axId val="42543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alpha val="88000"/>
            </a:schemeClr>
          </a:solidFill>
          <a:ln>
            <a:solidFill>
              <a:schemeClr val="accent1">
                <a:lumMod val="50000"/>
              </a:schemeClr>
            </a:solidFill>
          </a:ln>
          <a:effectLst/>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9000">
                <a:srgbClr val="9C3E00"/>
              </a:gs>
              <a:gs pos="0">
                <a:srgbClr val="9C3E00"/>
              </a:gs>
              <a:gs pos="58000">
                <a:srgbClr val="9C3E00"/>
              </a:gs>
              <a:gs pos="93000">
                <a:srgbClr val="9C3E00"/>
              </a:gs>
              <a:gs pos="48000">
                <a:schemeClr val="tx2"/>
              </a:gs>
            </a:gsLst>
            <a:lin ang="2700000" scaled="1"/>
          </a:gradFill>
          <a:ln>
            <a:solidFill>
              <a:schemeClr val="accent1">
                <a:lumMod val="50000"/>
              </a:schemeClr>
            </a:solidFill>
          </a:ln>
          <a:effectLst/>
        </c:spPr>
      </c:pivotFmt>
      <c:pivotFmt>
        <c:idx val="4"/>
        <c:spPr>
          <a:gradFill flip="none" rotWithShape="1">
            <a:gsLst>
              <a:gs pos="39000">
                <a:schemeClr val="tx2"/>
              </a:gs>
              <a:gs pos="0">
                <a:schemeClr val="tx2"/>
              </a:gs>
              <a:gs pos="58000">
                <a:schemeClr val="tx2"/>
              </a:gs>
              <a:gs pos="93000">
                <a:schemeClr val="tx2"/>
              </a:gs>
              <a:gs pos="48000">
                <a:srgbClr val="9C3E00"/>
              </a:gs>
            </a:gsLst>
            <a:lin ang="2700000" scaled="1"/>
            <a:tileRect/>
          </a:gradFill>
          <a:ln>
            <a:solidFill>
              <a:schemeClr val="accent1">
                <a:lumMod val="50000"/>
              </a:schemeClr>
            </a:solidFill>
          </a:ln>
          <a:effectLst/>
        </c:spPr>
      </c:pivotFmt>
    </c:pivotFmts>
    <c:plotArea>
      <c:layout>
        <c:manualLayout>
          <c:layoutTarget val="inner"/>
          <c:xMode val="edge"/>
          <c:yMode val="edge"/>
          <c:x val="0.26653055719813679"/>
          <c:y val="1.3605456752323908E-2"/>
          <c:w val="0.98494537985123398"/>
          <c:h val="0.98639454324767606"/>
        </c:manualLayout>
      </c:layout>
      <c:barChart>
        <c:barDir val="bar"/>
        <c:grouping val="clustered"/>
        <c:varyColors val="0"/>
        <c:ser>
          <c:idx val="0"/>
          <c:order val="0"/>
          <c:tx>
            <c:strRef>
              <c:f>Privot!$C$41</c:f>
              <c:strCache>
                <c:ptCount val="1"/>
                <c:pt idx="0">
                  <c:v>Total</c:v>
                </c:pt>
              </c:strCache>
            </c:strRef>
          </c:tx>
          <c:spPr>
            <a:solidFill>
              <a:schemeClr val="tx2">
                <a:alpha val="88000"/>
              </a:schemeClr>
            </a:solidFill>
            <a:ln>
              <a:solidFill>
                <a:schemeClr val="accent1">
                  <a:lumMod val="50000"/>
                </a:schemeClr>
              </a:solidFill>
            </a:ln>
            <a:effectLst/>
          </c:spPr>
          <c:invertIfNegative val="0"/>
          <c:dPt>
            <c:idx val="0"/>
            <c:invertIfNegative val="0"/>
            <c:bubble3D val="0"/>
            <c:spPr>
              <a:gradFill>
                <a:gsLst>
                  <a:gs pos="39000">
                    <a:srgbClr val="9C3E00"/>
                  </a:gs>
                  <a:gs pos="0">
                    <a:srgbClr val="9C3E00"/>
                  </a:gs>
                  <a:gs pos="58000">
                    <a:srgbClr val="9C3E00"/>
                  </a:gs>
                  <a:gs pos="93000">
                    <a:srgbClr val="9C3E00"/>
                  </a:gs>
                  <a:gs pos="48000">
                    <a:schemeClr val="tx2"/>
                  </a:gs>
                </a:gsLst>
                <a:lin ang="2700000" scaled="1"/>
              </a:gradFill>
              <a:ln>
                <a:solidFill>
                  <a:schemeClr val="accent1">
                    <a:lumMod val="50000"/>
                  </a:schemeClr>
                </a:solidFill>
              </a:ln>
              <a:effectLst/>
            </c:spPr>
            <c:extLst>
              <c:ext xmlns:c16="http://schemas.microsoft.com/office/drawing/2014/chart" uri="{C3380CC4-5D6E-409C-BE32-E72D297353CC}">
                <c16:uniqueId val="{00000001-2116-40CA-A871-F3EADF8CE6E1}"/>
              </c:ext>
            </c:extLst>
          </c:dPt>
          <c:dPt>
            <c:idx val="1"/>
            <c:invertIfNegative val="0"/>
            <c:bubble3D val="0"/>
            <c:spPr>
              <a:gradFill flip="none" rotWithShape="1">
                <a:gsLst>
                  <a:gs pos="39000">
                    <a:schemeClr val="tx2"/>
                  </a:gs>
                  <a:gs pos="0">
                    <a:schemeClr val="tx2"/>
                  </a:gs>
                  <a:gs pos="58000">
                    <a:schemeClr val="tx2"/>
                  </a:gs>
                  <a:gs pos="93000">
                    <a:schemeClr val="tx2"/>
                  </a:gs>
                  <a:gs pos="48000">
                    <a:srgbClr val="9C3E00"/>
                  </a:gs>
                </a:gsLst>
                <a:lin ang="2700000" scaled="1"/>
                <a:tileRect/>
              </a:gradFill>
              <a:ln>
                <a:solidFill>
                  <a:schemeClr val="accent1">
                    <a:lumMod val="50000"/>
                  </a:schemeClr>
                </a:solidFill>
              </a:ln>
              <a:effectLst/>
            </c:spPr>
            <c:extLst>
              <c:ext xmlns:c16="http://schemas.microsoft.com/office/drawing/2014/chart" uri="{C3380CC4-5D6E-409C-BE32-E72D297353CC}">
                <c16:uniqueId val="{00000002-9A13-4DF4-872D-B3F541F79DF0}"/>
              </c:ext>
            </c:extLst>
          </c:dPt>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Privot!$B$42:$B$43</c:f>
              <c:strCache>
                <c:ptCount val="2"/>
                <c:pt idx="0">
                  <c:v>Permanent</c:v>
                </c:pt>
                <c:pt idx="1">
                  <c:v>Probation</c:v>
                </c:pt>
              </c:strCache>
            </c:strRef>
          </c:cat>
          <c:val>
            <c:numRef>
              <c:f>Privot!$C$42:$C$43</c:f>
              <c:numCache>
                <c:formatCode>General</c:formatCode>
                <c:ptCount val="2"/>
                <c:pt idx="0">
                  <c:v>22</c:v>
                </c:pt>
                <c:pt idx="1">
                  <c:v>387</c:v>
                </c:pt>
              </c:numCache>
            </c:numRef>
          </c:val>
          <c:extLst>
            <c:ext xmlns:c16="http://schemas.microsoft.com/office/drawing/2014/chart" uri="{C3380CC4-5D6E-409C-BE32-E72D297353CC}">
              <c16:uniqueId val="{00000004-2ECA-4057-BA71-65A22D851111}"/>
            </c:ext>
          </c:extLst>
        </c:ser>
        <c:dLbls>
          <c:showLegendKey val="0"/>
          <c:showVal val="1"/>
          <c:showCatName val="0"/>
          <c:showSerName val="0"/>
          <c:showPercent val="0"/>
          <c:showBubbleSize val="0"/>
        </c:dLbls>
        <c:gapWidth val="84"/>
        <c:axId val="465052144"/>
        <c:axId val="465057968"/>
      </c:barChart>
      <c:catAx>
        <c:axId val="46505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5057968"/>
        <c:crosses val="autoZero"/>
        <c:auto val="1"/>
        <c:lblAlgn val="ctr"/>
        <c:lblOffset val="100"/>
        <c:noMultiLvlLbl val="0"/>
      </c:catAx>
      <c:valAx>
        <c:axId val="465057968"/>
        <c:scaling>
          <c:orientation val="minMax"/>
        </c:scaling>
        <c:delete val="1"/>
        <c:axPos val="b"/>
        <c:numFmt formatCode="General" sourceLinked="1"/>
        <c:majorTickMark val="out"/>
        <c:minorTickMark val="none"/>
        <c:tickLblPos val="nextTo"/>
        <c:crossAx val="46505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cap="flat" cmpd="sng" algn="ctr">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22500">
                <a:srgbClr val="87726E"/>
              </a:gs>
              <a:gs pos="0">
                <a:schemeClr val="accent1">
                  <a:satMod val="103000"/>
                  <a:lumMod val="102000"/>
                  <a:tint val="94000"/>
                </a:schemeClr>
              </a:gs>
              <a:gs pos="49000">
                <a:srgbClr val="9C3E00"/>
              </a:gs>
              <a:gs pos="72500">
                <a:srgbClr val="706465"/>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24000">
                <a:schemeClr val="tx2"/>
              </a:gs>
              <a:gs pos="0">
                <a:schemeClr val="tx2"/>
              </a:gs>
              <a:gs pos="64000">
                <a:schemeClr val="tx2"/>
              </a:gs>
              <a:gs pos="93000">
                <a:schemeClr val="tx2"/>
              </a:gs>
              <a:gs pos="46000">
                <a:srgbClr val="9C3E00"/>
              </a:gs>
            </a:gsLst>
            <a:lin ang="2700000" scaled="1"/>
          </a:gradFill>
          <a:ln>
            <a:noFill/>
          </a:ln>
          <a:effectLst>
            <a:outerShdw blurRad="57150" dist="19050" dir="5400000" algn="ctr" rotWithShape="0">
              <a:srgbClr val="000000">
                <a:alpha val="63000"/>
              </a:srgbClr>
            </a:outerShdw>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24000">
                <a:srgbClr val="9C3E00"/>
              </a:gs>
              <a:gs pos="0">
                <a:srgbClr val="9C3E00"/>
              </a:gs>
              <a:gs pos="64000">
                <a:srgbClr val="9C3E00"/>
              </a:gs>
              <a:gs pos="93000">
                <a:srgbClr val="9C3E00"/>
              </a:gs>
              <a:gs pos="42000">
                <a:schemeClr val="tx2"/>
              </a:gs>
            </a:gsLst>
            <a:lin ang="2700000" scaled="1"/>
          </a:gradFill>
          <a:ln>
            <a:noFill/>
          </a:ln>
          <a:effectLst>
            <a:outerShdw blurRad="57150" dist="19050" dir="5400000" algn="ctr" rotWithShape="0">
              <a:srgbClr val="000000">
                <a:alpha val="63000"/>
              </a:srgbClr>
            </a:outerShdw>
          </a:effectLst>
          <a:sp3d/>
        </c:spPr>
        <c:dLbl>
          <c:idx val="0"/>
          <c:layout>
            <c:manualLayout>
              <c:x val="1.944444444444444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15385704555244"/>
          <c:y val="0"/>
          <c:w val="0.72023739792321528"/>
          <c:h val="0.85826894301763679"/>
        </c:manualLayout>
      </c:layout>
      <c:bar3DChart>
        <c:barDir val="bar"/>
        <c:grouping val="clustered"/>
        <c:varyColors val="0"/>
        <c:ser>
          <c:idx val="0"/>
          <c:order val="0"/>
          <c:tx>
            <c:strRef>
              <c:f>Privot!$C$35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24000">
                    <a:srgbClr val="9C3E00"/>
                  </a:gs>
                  <a:gs pos="0">
                    <a:srgbClr val="9C3E00"/>
                  </a:gs>
                  <a:gs pos="64000">
                    <a:srgbClr val="9C3E00"/>
                  </a:gs>
                  <a:gs pos="93000">
                    <a:srgbClr val="9C3E00"/>
                  </a:gs>
                  <a:gs pos="42000">
                    <a:schemeClr val="tx2"/>
                  </a:gs>
                </a:gsLst>
                <a:lin ang="2700000" scaled="1"/>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87F-4304-93B6-78D864432938}"/>
              </c:ext>
            </c:extLst>
          </c:dPt>
          <c:dPt>
            <c:idx val="1"/>
            <c:invertIfNegative val="0"/>
            <c:bubble3D val="0"/>
            <c:spPr>
              <a:gradFill rotWithShape="1">
                <a:gsLst>
                  <a:gs pos="24000">
                    <a:schemeClr val="tx2"/>
                  </a:gs>
                  <a:gs pos="0">
                    <a:schemeClr val="tx2"/>
                  </a:gs>
                  <a:gs pos="64000">
                    <a:schemeClr val="tx2"/>
                  </a:gs>
                  <a:gs pos="93000">
                    <a:schemeClr val="tx2"/>
                  </a:gs>
                  <a:gs pos="46000">
                    <a:srgbClr val="9C3E00"/>
                  </a:gs>
                </a:gsLst>
                <a:lin ang="2700000" scaled="1"/>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87F-4304-93B6-78D864432938}"/>
              </c:ext>
            </c:extLst>
          </c:dPt>
          <c:dPt>
            <c:idx val="2"/>
            <c:invertIfNegative val="0"/>
            <c:bubble3D val="0"/>
            <c:spPr>
              <a:gradFill rotWithShape="1">
                <a:gsLst>
                  <a:gs pos="22500">
                    <a:srgbClr val="87726E"/>
                  </a:gs>
                  <a:gs pos="0">
                    <a:schemeClr val="accent1">
                      <a:satMod val="103000"/>
                      <a:lumMod val="102000"/>
                      <a:tint val="94000"/>
                    </a:schemeClr>
                  </a:gs>
                  <a:gs pos="49000">
                    <a:srgbClr val="9C3E00"/>
                  </a:gs>
                  <a:gs pos="72500">
                    <a:srgbClr val="706465"/>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7F-4304-93B6-78D864432938}"/>
              </c:ext>
            </c:extLst>
          </c:dPt>
          <c:dLbls>
            <c:dLbl>
              <c:idx val="0"/>
              <c:layout>
                <c:manualLayout>
                  <c:x val="1.944444444444444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7F-4304-93B6-78D864432938}"/>
                </c:ext>
              </c:extLst>
            </c:dLbl>
            <c:dLbl>
              <c:idx val="1"/>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7F-4304-93B6-78D864432938}"/>
                </c:ext>
              </c:extLst>
            </c:dLbl>
            <c:dLbl>
              <c:idx val="2"/>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7F-4304-93B6-78D8644329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Privot!$B$36:$B$38</c:f>
              <c:strCache>
                <c:ptCount val="3"/>
                <c:pt idx="0">
                  <c:v>Diract </c:v>
                </c:pt>
                <c:pt idx="1">
                  <c:v>Indiract </c:v>
                </c:pt>
                <c:pt idx="2">
                  <c:v>Management </c:v>
                </c:pt>
              </c:strCache>
            </c:strRef>
          </c:cat>
          <c:val>
            <c:numRef>
              <c:f>Privot!$C$36:$C$38</c:f>
              <c:numCache>
                <c:formatCode>General</c:formatCode>
                <c:ptCount val="3"/>
                <c:pt idx="0">
                  <c:v>378</c:v>
                </c:pt>
                <c:pt idx="1">
                  <c:v>24</c:v>
                </c:pt>
                <c:pt idx="2">
                  <c:v>7</c:v>
                </c:pt>
              </c:numCache>
            </c:numRef>
          </c:val>
          <c:extLst>
            <c:ext xmlns:c16="http://schemas.microsoft.com/office/drawing/2014/chart" uri="{C3380CC4-5D6E-409C-BE32-E72D297353CC}">
              <c16:uniqueId val="{00000008-0AB3-415A-985C-8E5576DD30F9}"/>
            </c:ext>
          </c:extLst>
        </c:ser>
        <c:dLbls>
          <c:showLegendKey val="0"/>
          <c:showVal val="1"/>
          <c:showCatName val="0"/>
          <c:showSerName val="0"/>
          <c:showPercent val="0"/>
          <c:showBubbleSize val="0"/>
        </c:dLbls>
        <c:gapWidth val="177"/>
        <c:gapDepth val="144"/>
        <c:shape val="box"/>
        <c:axId val="465053808"/>
        <c:axId val="465056720"/>
        <c:axId val="0"/>
      </c:bar3DChart>
      <c:catAx>
        <c:axId val="46505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056720"/>
        <c:crosses val="autoZero"/>
        <c:auto val="1"/>
        <c:lblAlgn val="ctr"/>
        <c:lblOffset val="100"/>
        <c:noMultiLvlLbl val="0"/>
      </c:catAx>
      <c:valAx>
        <c:axId val="465056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0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967335203133298E-2"/>
              <c:y val="-0.1391101597737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3370556459107806E-2"/>
              <c:y val="-0.1067477002267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674094695963885E-2"/>
              <c:y val="-0.10027520831740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034930131439191E-2"/>
              <c:y val="-0.106747700226792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140297231810959E-2"/>
              <c:y val="-8.0857732589251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Privot!$C$51</c:f>
              <c:strCache>
                <c:ptCount val="1"/>
                <c:pt idx="0">
                  <c:v>Total</c:v>
                </c:pt>
              </c:strCache>
            </c:strRef>
          </c:tx>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72-4FB1-ADCF-2AE85DBDBD1A}"/>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72-4FB1-ADCF-2AE85DBDBD1A}"/>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72-4FB1-ADCF-2AE85DBDBD1A}"/>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72-4FB1-ADCF-2AE85DBDBD1A}"/>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172-4FB1-ADCF-2AE85DBDBD1A}"/>
              </c:ext>
            </c:extLst>
          </c:dPt>
          <c:dLbls>
            <c:dLbl>
              <c:idx val="0"/>
              <c:layout>
                <c:manualLayout>
                  <c:x val="-6.5140297231810959E-2"/>
                  <c:y val="-8.0857732589251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72-4FB1-ADCF-2AE85DBDBD1A}"/>
                </c:ext>
              </c:extLst>
            </c:dLbl>
            <c:dLbl>
              <c:idx val="2"/>
              <c:layout>
                <c:manualLayout>
                  <c:x val="-1.9034930131439191E-2"/>
                  <c:y val="-0.106747700226792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72-4FB1-ADCF-2AE85DBDBD1A}"/>
                </c:ext>
              </c:extLst>
            </c:dLbl>
            <c:dLbl>
              <c:idx val="4"/>
              <c:layout>
                <c:manualLayout>
                  <c:x val="-5.1967335203133298E-2"/>
                  <c:y val="-0.13911015977371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72-4FB1-ADCF-2AE85DBDBD1A}"/>
                </c:ext>
              </c:extLst>
            </c:dLbl>
            <c:dLbl>
              <c:idx val="6"/>
              <c:layout>
                <c:manualLayout>
                  <c:x val="-1.3370556459107806E-2"/>
                  <c:y val="-0.10674770022679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72-4FB1-ADCF-2AE85DBDBD1A}"/>
                </c:ext>
              </c:extLst>
            </c:dLbl>
            <c:dLbl>
              <c:idx val="7"/>
              <c:layout>
                <c:manualLayout>
                  <c:x val="-4.8674094695963885E-2"/>
                  <c:y val="-0.100275208317406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72-4FB1-ADCF-2AE85DBDBD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Privot!$B$52:$B$60</c:f>
              <c:strCache>
                <c:ptCount val="9"/>
                <c:pt idx="0">
                  <c:v>A-</c:v>
                </c:pt>
                <c:pt idx="1">
                  <c:v>A+</c:v>
                </c:pt>
                <c:pt idx="2">
                  <c:v>AB-</c:v>
                </c:pt>
                <c:pt idx="3">
                  <c:v>AB+</c:v>
                </c:pt>
                <c:pt idx="4">
                  <c:v>B-</c:v>
                </c:pt>
                <c:pt idx="5">
                  <c:v>B+</c:v>
                </c:pt>
                <c:pt idx="6">
                  <c:v>N/A</c:v>
                </c:pt>
                <c:pt idx="7">
                  <c:v>O-</c:v>
                </c:pt>
                <c:pt idx="8">
                  <c:v>O+</c:v>
                </c:pt>
              </c:strCache>
            </c:strRef>
          </c:cat>
          <c:val>
            <c:numRef>
              <c:f>Privot!$C$52:$C$60</c:f>
              <c:numCache>
                <c:formatCode>General</c:formatCode>
                <c:ptCount val="9"/>
                <c:pt idx="0">
                  <c:v>3</c:v>
                </c:pt>
                <c:pt idx="1">
                  <c:v>90</c:v>
                </c:pt>
                <c:pt idx="2">
                  <c:v>2</c:v>
                </c:pt>
                <c:pt idx="3">
                  <c:v>36</c:v>
                </c:pt>
                <c:pt idx="4">
                  <c:v>5</c:v>
                </c:pt>
                <c:pt idx="5">
                  <c:v>124</c:v>
                </c:pt>
                <c:pt idx="6">
                  <c:v>31</c:v>
                </c:pt>
                <c:pt idx="7">
                  <c:v>4</c:v>
                </c:pt>
                <c:pt idx="8">
                  <c:v>114</c:v>
                </c:pt>
              </c:numCache>
            </c:numRef>
          </c:val>
          <c:smooth val="0"/>
          <c:extLst>
            <c:ext xmlns:c16="http://schemas.microsoft.com/office/drawing/2014/chart" uri="{C3380CC4-5D6E-409C-BE32-E72D297353CC}">
              <c16:uniqueId val="{0000000C-D61D-4CC9-986F-B5AD6F0862C2}"/>
            </c:ext>
          </c:extLst>
        </c:ser>
        <c:dLbls>
          <c:showLegendKey val="0"/>
          <c:showVal val="0"/>
          <c:showCatName val="0"/>
          <c:showSerName val="0"/>
          <c:showPercent val="0"/>
          <c:showBubbleSize val="0"/>
        </c:dLbls>
        <c:marker val="1"/>
        <c:smooth val="0"/>
        <c:axId val="340340144"/>
        <c:axId val="340328496"/>
      </c:lineChart>
      <c:catAx>
        <c:axId val="340340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328496"/>
        <c:crosses val="autoZero"/>
        <c:auto val="1"/>
        <c:lblAlgn val="ctr"/>
        <c:lblOffset val="100"/>
        <c:noMultiLvlLbl val="0"/>
      </c:catAx>
      <c:valAx>
        <c:axId val="34032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3401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tx2"/>
              </a:gs>
              <a:gs pos="90000">
                <a:srgbClr val="9C3E00"/>
              </a:gs>
              <a:gs pos="33000">
                <a:schemeClr val="accent1">
                  <a:lumMod val="45000"/>
                  <a:lumOff val="55000"/>
                </a:schemeClr>
              </a:gs>
            </a:gsLst>
            <a:lin ang="5400000" scaled="1"/>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90940941851092"/>
          <c:y val="7.8431404840267546E-3"/>
          <c:w val="0.78509059058148911"/>
          <c:h val="0.98954247935463102"/>
        </c:manualLayout>
      </c:layout>
      <c:bar3DChart>
        <c:barDir val="bar"/>
        <c:grouping val="clustered"/>
        <c:varyColors val="0"/>
        <c:ser>
          <c:idx val="0"/>
          <c:order val="0"/>
          <c:tx>
            <c:strRef>
              <c:f>Privot!$C$63</c:f>
              <c:strCache>
                <c:ptCount val="1"/>
                <c:pt idx="0">
                  <c:v>Total</c:v>
                </c:pt>
              </c:strCache>
            </c:strRef>
          </c:tx>
          <c:spPr>
            <a:gradFill rotWithShape="1">
              <a:gsLst>
                <a:gs pos="0">
                  <a:schemeClr val="tx2"/>
                </a:gs>
                <a:gs pos="90000">
                  <a:srgbClr val="9C3E00"/>
                </a:gs>
                <a:gs pos="33000">
                  <a:schemeClr val="accent1">
                    <a:lumMod val="45000"/>
                    <a:lumOff val="55000"/>
                  </a:schemeClr>
                </a:gs>
              </a:gsLst>
              <a:lin ang="5400000" scaled="1"/>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Privot!$B$64:$B$69</c:f>
              <c:strCache>
                <c:ptCount val="6"/>
                <c:pt idx="0">
                  <c:v>10-15km</c:v>
                </c:pt>
                <c:pt idx="1">
                  <c:v>1km -3km</c:v>
                </c:pt>
                <c:pt idx="2">
                  <c:v>20km-30km</c:v>
                </c:pt>
                <c:pt idx="3">
                  <c:v>3km-5km</c:v>
                </c:pt>
                <c:pt idx="4">
                  <c:v>5-10km</c:v>
                </c:pt>
                <c:pt idx="5">
                  <c:v>5km-10km</c:v>
                </c:pt>
              </c:strCache>
            </c:strRef>
          </c:cat>
          <c:val>
            <c:numRef>
              <c:f>Privot!$C$64:$C$69</c:f>
              <c:numCache>
                <c:formatCode>General</c:formatCode>
                <c:ptCount val="6"/>
                <c:pt idx="0">
                  <c:v>14</c:v>
                </c:pt>
                <c:pt idx="1">
                  <c:v>254</c:v>
                </c:pt>
                <c:pt idx="2">
                  <c:v>3</c:v>
                </c:pt>
                <c:pt idx="3">
                  <c:v>109</c:v>
                </c:pt>
                <c:pt idx="4">
                  <c:v>25</c:v>
                </c:pt>
                <c:pt idx="5">
                  <c:v>4</c:v>
                </c:pt>
              </c:numCache>
            </c:numRef>
          </c:val>
          <c:shape val="pyramid"/>
          <c:extLst>
            <c:ext xmlns:c16="http://schemas.microsoft.com/office/drawing/2014/chart" uri="{C3380CC4-5D6E-409C-BE32-E72D297353CC}">
              <c16:uniqueId val="{00000002-770B-43F4-A9FA-D6246030B731}"/>
            </c:ext>
          </c:extLst>
        </c:ser>
        <c:dLbls>
          <c:showLegendKey val="0"/>
          <c:showVal val="1"/>
          <c:showCatName val="0"/>
          <c:showSerName val="0"/>
          <c:showPercent val="0"/>
          <c:showBubbleSize val="0"/>
        </c:dLbls>
        <c:gapWidth val="150"/>
        <c:shape val="box"/>
        <c:axId val="615092576"/>
        <c:axId val="615078432"/>
        <c:axId val="0"/>
      </c:bar3DChart>
      <c:catAx>
        <c:axId val="61509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5078432"/>
        <c:crosses val="autoZero"/>
        <c:auto val="1"/>
        <c:lblAlgn val="ctr"/>
        <c:lblOffset val="100"/>
        <c:noMultiLvlLbl val="0"/>
      </c:catAx>
      <c:valAx>
        <c:axId val="615078432"/>
        <c:scaling>
          <c:orientation val="minMax"/>
        </c:scaling>
        <c:delete val="1"/>
        <c:axPos val="b"/>
        <c:numFmt formatCode="General" sourceLinked="1"/>
        <c:majorTickMark val="none"/>
        <c:minorTickMark val="none"/>
        <c:tickLblPos val="nextTo"/>
        <c:crossAx val="615092576"/>
        <c:crosses val="autoZero"/>
        <c:crossBetween val="between"/>
      </c:valAx>
      <c:spPr>
        <a:noFill/>
        <a:ln>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rgbClr val="9C3E00"/>
              </a:gs>
              <a:gs pos="44000">
                <a:srgbClr val="9C3E00"/>
              </a:gs>
              <a:gs pos="83000">
                <a:schemeClr val="tx2"/>
              </a:gs>
              <a:gs pos="100000">
                <a:schemeClr val="tx2"/>
              </a:gs>
            </a:gsLst>
            <a:lin ang="19800000" scaled="0"/>
          </a:gradFill>
          <a:ln w="19050">
            <a:noFill/>
          </a:ln>
          <a:effectLst/>
        </c:spPr>
      </c:pivotFmt>
      <c:pivotFmt>
        <c:idx val="6"/>
        <c:spPr>
          <a:gradFill>
            <a:gsLst>
              <a:gs pos="0">
                <a:schemeClr val="tx2"/>
              </a:gs>
              <a:gs pos="44000">
                <a:schemeClr val="bg2">
                  <a:lumMod val="25000"/>
                </a:schemeClr>
              </a:gs>
              <a:gs pos="86000">
                <a:srgbClr val="9C3E00"/>
              </a:gs>
              <a:gs pos="68000">
                <a:schemeClr val="tx2"/>
              </a:gs>
            </a:gsLst>
            <a:lin ang="19800000" scaled="0"/>
          </a:gradFill>
          <a:ln w="19050">
            <a:noFill/>
          </a:ln>
          <a:effectLst/>
        </c:spPr>
      </c:pivotFmt>
    </c:pivotFmts>
    <c:plotArea>
      <c:layout>
        <c:manualLayout>
          <c:layoutTarget val="inner"/>
          <c:xMode val="edge"/>
          <c:yMode val="edge"/>
          <c:x val="0.18419590414044104"/>
          <c:y val="0"/>
          <c:w val="0.72727272727272729"/>
          <c:h val="1"/>
        </c:manualLayout>
      </c:layout>
      <c:doughnutChart>
        <c:varyColors val="1"/>
        <c:ser>
          <c:idx val="0"/>
          <c:order val="0"/>
          <c:tx>
            <c:strRef>
              <c:f>Privot!$C$46</c:f>
              <c:strCache>
                <c:ptCount val="1"/>
                <c:pt idx="0">
                  <c:v>Total</c:v>
                </c:pt>
              </c:strCache>
            </c:strRef>
          </c:tx>
          <c:spPr>
            <a:ln>
              <a:noFill/>
            </a:ln>
          </c:spPr>
          <c:dPt>
            <c:idx val="0"/>
            <c:bubble3D val="0"/>
            <c:spPr>
              <a:gradFill>
                <a:gsLst>
                  <a:gs pos="0">
                    <a:srgbClr val="9C3E00"/>
                  </a:gs>
                  <a:gs pos="44000">
                    <a:srgbClr val="9C3E00"/>
                  </a:gs>
                  <a:gs pos="83000">
                    <a:schemeClr val="tx2"/>
                  </a:gs>
                  <a:gs pos="100000">
                    <a:schemeClr val="tx2"/>
                  </a:gs>
                </a:gsLst>
                <a:lin ang="19800000" scaled="0"/>
              </a:gradFill>
              <a:ln w="19050">
                <a:noFill/>
              </a:ln>
              <a:effectLst/>
            </c:spPr>
            <c:extLst>
              <c:ext xmlns:c16="http://schemas.microsoft.com/office/drawing/2014/chart" uri="{C3380CC4-5D6E-409C-BE32-E72D297353CC}">
                <c16:uniqueId val="{00000001-E6CF-4A93-BBB2-DC0C445BF45B}"/>
              </c:ext>
            </c:extLst>
          </c:dPt>
          <c:dPt>
            <c:idx val="1"/>
            <c:bubble3D val="0"/>
            <c:spPr>
              <a:gradFill>
                <a:gsLst>
                  <a:gs pos="0">
                    <a:schemeClr val="tx2"/>
                  </a:gs>
                  <a:gs pos="44000">
                    <a:schemeClr val="bg2">
                      <a:lumMod val="25000"/>
                    </a:schemeClr>
                  </a:gs>
                  <a:gs pos="86000">
                    <a:srgbClr val="9C3E00"/>
                  </a:gs>
                  <a:gs pos="68000">
                    <a:schemeClr val="tx2"/>
                  </a:gs>
                </a:gsLst>
                <a:lin ang="19800000" scaled="0"/>
              </a:gradFill>
              <a:ln w="19050">
                <a:noFill/>
              </a:ln>
              <a:effectLst/>
            </c:spPr>
            <c:extLst>
              <c:ext xmlns:c16="http://schemas.microsoft.com/office/drawing/2014/chart" uri="{C3380CC4-5D6E-409C-BE32-E72D297353CC}">
                <c16:uniqueId val="{00000003-E6CF-4A93-BBB2-DC0C445BF4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Privot!$B$47:$B$48</c:f>
              <c:strCache>
                <c:ptCount val="2"/>
                <c:pt idx="0">
                  <c:v>Married</c:v>
                </c:pt>
                <c:pt idx="1">
                  <c:v>Single</c:v>
                </c:pt>
              </c:strCache>
            </c:strRef>
          </c:cat>
          <c:val>
            <c:numRef>
              <c:f>Privot!$C$47:$C$48</c:f>
              <c:numCache>
                <c:formatCode>General</c:formatCode>
                <c:ptCount val="2"/>
                <c:pt idx="0">
                  <c:v>69</c:v>
                </c:pt>
                <c:pt idx="1">
                  <c:v>340</c:v>
                </c:pt>
              </c:numCache>
            </c:numRef>
          </c:val>
          <c:extLst>
            <c:ext xmlns:c16="http://schemas.microsoft.com/office/drawing/2014/chart" uri="{C3380CC4-5D6E-409C-BE32-E72D297353CC}">
              <c16:uniqueId val="{00000006-806E-4BC7-8798-B8F4874B4B9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a:gsLst>
              <a:gs pos="0">
                <a:schemeClr val="tx2"/>
              </a:gs>
              <a:gs pos="44000">
                <a:schemeClr val="tx2"/>
              </a:gs>
              <a:gs pos="83000">
                <a:schemeClr val="accent2"/>
              </a:gs>
              <a:gs pos="100000">
                <a:schemeClr val="accent1">
                  <a:lumMod val="30000"/>
                  <a:lumOff val="70000"/>
                </a:schemeClr>
              </a:gs>
            </a:gsLst>
            <a:lin ang="6600000" scaled="0"/>
          </a:gradFill>
          <a:ln w="19050">
            <a:noFill/>
          </a:ln>
          <a:effectLst/>
        </c:spPr>
      </c:pivotFmt>
      <c:pivotFmt>
        <c:idx val="6"/>
        <c:spPr>
          <a:gradFill>
            <a:gsLst>
              <a:gs pos="0">
                <a:srgbClr val="9C3E00"/>
              </a:gs>
              <a:gs pos="44000">
                <a:srgbClr val="9C3E00"/>
              </a:gs>
              <a:gs pos="83000">
                <a:schemeClr val="tx2"/>
              </a:gs>
              <a:gs pos="100000">
                <a:schemeClr val="accent1">
                  <a:lumMod val="30000"/>
                  <a:lumOff val="70000"/>
                </a:schemeClr>
              </a:gs>
            </a:gsLst>
            <a:lin ang="16800000" scaled="0"/>
          </a:gradFill>
          <a:ln w="19050">
            <a:solidFill>
              <a:schemeClr val="lt1"/>
            </a:solidFill>
          </a:ln>
          <a:effectLst/>
        </c:spPr>
      </c:pivotFmt>
    </c:pivotFmts>
    <c:plotArea>
      <c:layout>
        <c:manualLayout>
          <c:layoutTarget val="inner"/>
          <c:xMode val="edge"/>
          <c:yMode val="edge"/>
          <c:x val="0.12492985790569282"/>
          <c:y val="6.9085503316234859E-3"/>
          <c:w val="0.78641332876868641"/>
          <c:h val="0.93717650578651746"/>
        </c:manualLayout>
      </c:layout>
      <c:doughnutChart>
        <c:varyColors val="1"/>
        <c:ser>
          <c:idx val="0"/>
          <c:order val="0"/>
          <c:tx>
            <c:strRef>
              <c:f>Privot!$C$7</c:f>
              <c:strCache>
                <c:ptCount val="1"/>
                <c:pt idx="0">
                  <c:v>Total</c:v>
                </c:pt>
              </c:strCache>
            </c:strRef>
          </c:tx>
          <c:dPt>
            <c:idx val="0"/>
            <c:bubble3D val="0"/>
            <c:spPr>
              <a:gradFill>
                <a:gsLst>
                  <a:gs pos="0">
                    <a:schemeClr val="tx2"/>
                  </a:gs>
                  <a:gs pos="44000">
                    <a:schemeClr val="tx2"/>
                  </a:gs>
                  <a:gs pos="83000">
                    <a:schemeClr val="accent2"/>
                  </a:gs>
                  <a:gs pos="100000">
                    <a:schemeClr val="accent1">
                      <a:lumMod val="30000"/>
                      <a:lumOff val="70000"/>
                    </a:schemeClr>
                  </a:gs>
                </a:gsLst>
                <a:lin ang="6600000" scaled="0"/>
              </a:gradFill>
              <a:ln w="19050">
                <a:noFill/>
              </a:ln>
              <a:effectLst/>
            </c:spPr>
            <c:extLst>
              <c:ext xmlns:c16="http://schemas.microsoft.com/office/drawing/2014/chart" uri="{C3380CC4-5D6E-409C-BE32-E72D297353CC}">
                <c16:uniqueId val="{00000001-A94C-47F9-B787-CE9BAECD5719}"/>
              </c:ext>
            </c:extLst>
          </c:dPt>
          <c:dPt>
            <c:idx val="1"/>
            <c:bubble3D val="0"/>
            <c:spPr>
              <a:gradFill>
                <a:gsLst>
                  <a:gs pos="0">
                    <a:srgbClr val="9C3E00"/>
                  </a:gs>
                  <a:gs pos="44000">
                    <a:srgbClr val="9C3E00"/>
                  </a:gs>
                  <a:gs pos="83000">
                    <a:schemeClr val="tx2"/>
                  </a:gs>
                  <a:gs pos="100000">
                    <a:schemeClr val="accent1">
                      <a:lumMod val="30000"/>
                      <a:lumOff val="70000"/>
                    </a:schemeClr>
                  </a:gs>
                </a:gsLst>
                <a:lin ang="16800000" scaled="0"/>
              </a:gradFill>
              <a:ln w="19050">
                <a:solidFill>
                  <a:schemeClr val="lt1"/>
                </a:solidFill>
              </a:ln>
              <a:effectLst/>
            </c:spPr>
            <c:extLst>
              <c:ext xmlns:c16="http://schemas.microsoft.com/office/drawing/2014/chart" uri="{C3380CC4-5D6E-409C-BE32-E72D297353CC}">
                <c16:uniqueId val="{00000003-A94C-47F9-B787-CE9BAECD5719}"/>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Privot!$B$8:$B$9</c:f>
              <c:strCache>
                <c:ptCount val="2"/>
                <c:pt idx="0">
                  <c:v>Female</c:v>
                </c:pt>
                <c:pt idx="1">
                  <c:v>Male</c:v>
                </c:pt>
              </c:strCache>
            </c:strRef>
          </c:cat>
          <c:val>
            <c:numRef>
              <c:f>Privot!$C$8:$C$9</c:f>
              <c:numCache>
                <c:formatCode>General</c:formatCode>
                <c:ptCount val="2"/>
                <c:pt idx="0">
                  <c:v>138</c:v>
                </c:pt>
                <c:pt idx="1">
                  <c:v>271</c:v>
                </c:pt>
              </c:numCache>
            </c:numRef>
          </c:val>
          <c:extLst>
            <c:ext xmlns:c16="http://schemas.microsoft.com/office/drawing/2014/chart" uri="{C3380CC4-5D6E-409C-BE32-E72D297353CC}">
              <c16:uniqueId val="{00000006-DC7D-4828-9266-9FC8529C21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.xlsx]Privot!PivotTable13</c:name>
    <c:fmtId val="3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gs>
              <a:gs pos="36000">
                <a:schemeClr val="tx2"/>
              </a:gs>
              <a:gs pos="61000">
                <a:srgbClr val="00B050"/>
              </a:gs>
              <a:gs pos="95000">
                <a:srgbClr val="9C3E00"/>
              </a:gs>
            </a:gsLst>
            <a:path path="circle">
              <a:fillToRect l="100000" t="100000"/>
            </a:path>
            <a:tileRect r="-100000" b="-100000"/>
          </a:gradFill>
          <a:ln>
            <a:noFill/>
          </a:ln>
          <a:effectLst/>
          <a:sp3d/>
        </c:spPr>
        <c:dLbl>
          <c:idx val="0"/>
          <c:layout>
            <c:manualLayout>
              <c:x val="0.12487976993355951"/>
              <c:y val="8.51851851851851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34994924292407"/>
                  <c:h val="0.13311111111111112"/>
                </c:manualLayout>
              </c15:layout>
            </c:ext>
          </c:extLst>
        </c:dLbl>
      </c:pivotFmt>
      <c:pivotFmt>
        <c:idx val="4"/>
        <c:spPr>
          <a:gradFill>
            <a:gsLst>
              <a:gs pos="0">
                <a:srgbClr val="9C3E00"/>
              </a:gs>
              <a:gs pos="36000">
                <a:schemeClr val="tx2"/>
              </a:gs>
              <a:gs pos="61000">
                <a:srgbClr val="9C3E00"/>
              </a:gs>
              <a:gs pos="95000">
                <a:srgbClr val="9C3E00"/>
              </a:gs>
            </a:gsLst>
            <a:path path="circle">
              <a:fillToRect l="100000" t="100000"/>
            </a:path>
          </a:gradFill>
          <a:ln>
            <a:noFill/>
          </a:ln>
          <a:effectLst/>
          <a:sp3d/>
        </c:spPr>
        <c:dLbl>
          <c:idx val="0"/>
          <c:layout>
            <c:manualLayout>
              <c:x val="0.15384602960142965"/>
              <c:y val="1.4814814814814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36000">
                <a:schemeClr val="tx2"/>
              </a:gs>
              <a:gs pos="62000">
                <a:schemeClr val="accent1"/>
              </a:gs>
              <a:gs pos="95000">
                <a:srgbClr val="9C3E00"/>
              </a:gs>
            </a:gsLst>
            <a:path path="circle">
              <a:fillToRect l="100000" t="100000"/>
            </a:path>
          </a:gradFill>
          <a:ln>
            <a:noFill/>
          </a:ln>
          <a:effectLst/>
          <a:sp3d/>
        </c:spPr>
        <c:dLbl>
          <c:idx val="0"/>
          <c:layout>
            <c:manualLayout>
              <c:x val="0.1641024315748584"/>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Privot!$C$74</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rgbClr val="00B050"/>
                  </a:gs>
                  <a:gs pos="36000">
                    <a:schemeClr val="tx2"/>
                  </a:gs>
                  <a:gs pos="61000">
                    <a:srgbClr val="00B050"/>
                  </a:gs>
                  <a:gs pos="95000">
                    <a:srgbClr val="9C3E00"/>
                  </a:gs>
                </a:gsLst>
                <a:path path="circle">
                  <a:fillToRect l="100000" t="100000"/>
                </a:path>
                <a:tileRect r="-100000" b="-100000"/>
              </a:gradFill>
              <a:ln>
                <a:noFill/>
              </a:ln>
              <a:effectLst/>
              <a:sp3d/>
            </c:spPr>
            <c:extLst>
              <c:ext xmlns:c16="http://schemas.microsoft.com/office/drawing/2014/chart" uri="{C3380CC4-5D6E-409C-BE32-E72D297353CC}">
                <c16:uniqueId val="{00000001-7E99-45DE-95FD-8FBEA897BC68}"/>
              </c:ext>
            </c:extLst>
          </c:dPt>
          <c:dPt>
            <c:idx val="1"/>
            <c:invertIfNegative val="0"/>
            <c:bubble3D val="0"/>
            <c:spPr>
              <a:gradFill>
                <a:gsLst>
                  <a:gs pos="0">
                    <a:srgbClr val="9C3E00"/>
                  </a:gs>
                  <a:gs pos="36000">
                    <a:schemeClr val="tx2"/>
                  </a:gs>
                  <a:gs pos="61000">
                    <a:srgbClr val="9C3E00"/>
                  </a:gs>
                  <a:gs pos="95000">
                    <a:srgbClr val="9C3E00"/>
                  </a:gs>
                </a:gsLst>
                <a:path path="circle">
                  <a:fillToRect l="100000" t="100000"/>
                </a:path>
              </a:gradFill>
              <a:ln>
                <a:noFill/>
              </a:ln>
              <a:effectLst/>
              <a:sp3d/>
            </c:spPr>
            <c:extLst>
              <c:ext xmlns:c16="http://schemas.microsoft.com/office/drawing/2014/chart" uri="{C3380CC4-5D6E-409C-BE32-E72D297353CC}">
                <c16:uniqueId val="{00000002-7E99-45DE-95FD-8FBEA897BC68}"/>
              </c:ext>
            </c:extLst>
          </c:dPt>
          <c:dPt>
            <c:idx val="2"/>
            <c:invertIfNegative val="0"/>
            <c:bubble3D val="0"/>
            <c:spPr>
              <a:gradFill>
                <a:gsLst>
                  <a:gs pos="0">
                    <a:schemeClr val="accent1"/>
                  </a:gs>
                  <a:gs pos="36000">
                    <a:schemeClr val="tx2"/>
                  </a:gs>
                  <a:gs pos="62000">
                    <a:schemeClr val="accent1"/>
                  </a:gs>
                  <a:gs pos="95000">
                    <a:srgbClr val="9C3E00"/>
                  </a:gs>
                </a:gsLst>
                <a:path path="circle">
                  <a:fillToRect l="100000" t="100000"/>
                </a:path>
              </a:gradFill>
              <a:ln>
                <a:noFill/>
              </a:ln>
              <a:effectLst/>
              <a:sp3d/>
            </c:spPr>
            <c:extLst>
              <c:ext xmlns:c16="http://schemas.microsoft.com/office/drawing/2014/chart" uri="{C3380CC4-5D6E-409C-BE32-E72D297353CC}">
                <c16:uniqueId val="{00000003-7E99-45DE-95FD-8FBEA897BC68}"/>
              </c:ext>
            </c:extLst>
          </c:dPt>
          <c:dLbls>
            <c:dLbl>
              <c:idx val="0"/>
              <c:layout>
                <c:manualLayout>
                  <c:x val="0.12487976993355951"/>
                  <c:y val="8.51851851851851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34994924292407"/>
                      <c:h val="0.13311111111111112"/>
                    </c:manualLayout>
                  </c15:layout>
                </c:ext>
                <c:ext xmlns:c16="http://schemas.microsoft.com/office/drawing/2014/chart" uri="{C3380CC4-5D6E-409C-BE32-E72D297353CC}">
                  <c16:uniqueId val="{00000001-7E99-45DE-95FD-8FBEA897BC68}"/>
                </c:ext>
              </c:extLst>
            </c:dLbl>
            <c:dLbl>
              <c:idx val="1"/>
              <c:layout>
                <c:manualLayout>
                  <c:x val="0.15384602960142965"/>
                  <c:y val="1.4814814814814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99-45DE-95FD-8FBEA897BC68}"/>
                </c:ext>
              </c:extLst>
            </c:dLbl>
            <c:dLbl>
              <c:idx val="2"/>
              <c:layout>
                <c:manualLayout>
                  <c:x val="0.1641024315748584"/>
                  <c:y val="2.2222222222222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99-45DE-95FD-8FBEA897BC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Privot!$B$75:$B$78</c:f>
              <c:strCache>
                <c:ptCount val="3"/>
                <c:pt idx="0">
                  <c:v>Active</c:v>
                </c:pt>
                <c:pt idx="1">
                  <c:v>Fire</c:v>
                </c:pt>
                <c:pt idx="2">
                  <c:v>Resigned</c:v>
                </c:pt>
              </c:strCache>
            </c:strRef>
          </c:cat>
          <c:val>
            <c:numRef>
              <c:f>Privot!$C$75:$C$78</c:f>
              <c:numCache>
                <c:formatCode>General</c:formatCode>
                <c:ptCount val="3"/>
                <c:pt idx="0">
                  <c:v>407</c:v>
                </c:pt>
                <c:pt idx="1">
                  <c:v>1</c:v>
                </c:pt>
                <c:pt idx="2">
                  <c:v>1</c:v>
                </c:pt>
              </c:numCache>
            </c:numRef>
          </c:val>
          <c:extLst>
            <c:ext xmlns:c16="http://schemas.microsoft.com/office/drawing/2014/chart" uri="{C3380CC4-5D6E-409C-BE32-E72D297353CC}">
              <c16:uniqueId val="{00000000-7E99-45DE-95FD-8FBEA897BC68}"/>
            </c:ext>
          </c:extLst>
        </c:ser>
        <c:dLbls>
          <c:showLegendKey val="0"/>
          <c:showVal val="1"/>
          <c:showCatName val="0"/>
          <c:showSerName val="0"/>
          <c:showPercent val="0"/>
          <c:showBubbleSize val="0"/>
        </c:dLbls>
        <c:gapWidth val="150"/>
        <c:shape val="box"/>
        <c:axId val="53038223"/>
        <c:axId val="53028623"/>
        <c:axId val="0"/>
      </c:bar3DChart>
      <c:catAx>
        <c:axId val="5303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028623"/>
        <c:crosses val="autoZero"/>
        <c:auto val="1"/>
        <c:lblAlgn val="ctr"/>
        <c:lblOffset val="100"/>
        <c:noMultiLvlLbl val="0"/>
      </c:catAx>
      <c:valAx>
        <c:axId val="53028623"/>
        <c:scaling>
          <c:orientation val="minMax"/>
        </c:scaling>
        <c:delete val="1"/>
        <c:axPos val="b"/>
        <c:numFmt formatCode="General" sourceLinked="1"/>
        <c:majorTickMark val="none"/>
        <c:minorTickMark val="none"/>
        <c:tickLblPos val="nextTo"/>
        <c:crossAx val="5303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.xlsx]Privot!PivotTable4</c:name>
    <c:fmtId val="2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1716279367518"/>
          <c:y val="0.16076394852922365"/>
          <c:w val="0.86008737503858534"/>
          <c:h val="0.41889718349749344"/>
        </c:manualLayout>
      </c:layout>
      <c:lineChart>
        <c:grouping val="standard"/>
        <c:varyColors val="0"/>
        <c:ser>
          <c:idx val="0"/>
          <c:order val="0"/>
          <c:tx>
            <c:strRef>
              <c:f>Privot!$C$12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Privot!$B$13:$B$19</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Privot!$C$13:$C$19</c:f>
              <c:numCache>
                <c:formatCode>General</c:formatCode>
                <c:ptCount val="7"/>
                <c:pt idx="0">
                  <c:v>4</c:v>
                </c:pt>
                <c:pt idx="1">
                  <c:v>1</c:v>
                </c:pt>
                <c:pt idx="2">
                  <c:v>93</c:v>
                </c:pt>
                <c:pt idx="3">
                  <c:v>28</c:v>
                </c:pt>
                <c:pt idx="4">
                  <c:v>3</c:v>
                </c:pt>
                <c:pt idx="5">
                  <c:v>154</c:v>
                </c:pt>
                <c:pt idx="6">
                  <c:v>126</c:v>
                </c:pt>
              </c:numCache>
            </c:numRef>
          </c:val>
          <c:smooth val="0"/>
          <c:extLst>
            <c:ext xmlns:c16="http://schemas.microsoft.com/office/drawing/2014/chart" uri="{C3380CC4-5D6E-409C-BE32-E72D297353CC}">
              <c16:uniqueId val="{00000000-6308-44F9-B828-7DDD209F67D3}"/>
            </c:ext>
          </c:extLst>
        </c:ser>
        <c:dLbls>
          <c:dLblPos val="t"/>
          <c:showLegendKey val="0"/>
          <c:showVal val="1"/>
          <c:showCatName val="0"/>
          <c:showSerName val="0"/>
          <c:showPercent val="0"/>
          <c:showBubbleSize val="0"/>
        </c:dLbls>
        <c:marker val="1"/>
        <c:smooth val="0"/>
        <c:axId val="707623760"/>
        <c:axId val="707626640"/>
      </c:lineChart>
      <c:catAx>
        <c:axId val="70762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26640"/>
        <c:crosses val="autoZero"/>
        <c:auto val="1"/>
        <c:lblAlgn val="ctr"/>
        <c:lblOffset val="100"/>
        <c:noMultiLvlLbl val="0"/>
      </c:catAx>
      <c:valAx>
        <c:axId val="707626640"/>
        <c:scaling>
          <c:orientation val="minMax"/>
        </c:scaling>
        <c:delete val="1"/>
        <c:axPos val="l"/>
        <c:numFmt formatCode="General" sourceLinked="1"/>
        <c:majorTickMark val="none"/>
        <c:minorTickMark val="none"/>
        <c:tickLblPos val="nextTo"/>
        <c:crossAx val="707623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.xlsx]Privot!PivotTable5</c:name>
    <c:fmtId val="1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24944320712694878"/>
              <c:y val="-3.2407407407407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738678544914628"/>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1878247958426132"/>
              <c:y val="6.48148148148146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layout>
            <c:manualLayout>
              <c:x val="0.11878247958426132"/>
              <c:y val="6.48148148148146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738678544914628"/>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44320712694878"/>
              <c:y val="-3.2407407407407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olidFill>
          <a:ln w="19050">
            <a:solidFill>
              <a:schemeClr val="lt1"/>
            </a:solidFill>
          </a:ln>
          <a:effectLst/>
        </c:spPr>
        <c:dLbl>
          <c:idx val="0"/>
          <c:layout>
            <c:manualLayout>
              <c:x val="0.11878247958426132"/>
              <c:y val="6.48148148148146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5738678544914628"/>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944320712694878"/>
              <c:y val="-3.24074074074074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940976377952758"/>
          <c:y val="0.12968503937007875"/>
          <c:w val="0.495916852264291"/>
          <c:h val="0.77314814814814814"/>
        </c:manualLayout>
      </c:layout>
      <c:doughnutChart>
        <c:varyColors val="1"/>
        <c:ser>
          <c:idx val="0"/>
          <c:order val="0"/>
          <c:tx>
            <c:strRef>
              <c:f>Privot!$C$35</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87D5-4C6F-8051-7B570763A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5-4C6F-8051-7B570763A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D5-4C6F-8051-7B570763AD88}"/>
              </c:ext>
            </c:extLst>
          </c:dPt>
          <c:dLbls>
            <c:dLbl>
              <c:idx val="0"/>
              <c:layout>
                <c:manualLayout>
                  <c:x val="0.11878247958426132"/>
                  <c:y val="6.48148148148146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D5-4C6F-8051-7B570763AD88}"/>
                </c:ext>
              </c:extLst>
            </c:dLbl>
            <c:dLbl>
              <c:idx val="1"/>
              <c:layout>
                <c:manualLayout>
                  <c:x val="-0.15738678544914628"/>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D5-4C6F-8051-7B570763AD88}"/>
                </c:ext>
              </c:extLst>
            </c:dLbl>
            <c:dLbl>
              <c:idx val="2"/>
              <c:layout>
                <c:manualLayout>
                  <c:x val="0.24944320712694878"/>
                  <c:y val="-3.24074074074074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7D5-4C6F-8051-7B570763AD8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Privot!$B$36:$B$38</c:f>
              <c:strCache>
                <c:ptCount val="3"/>
                <c:pt idx="0">
                  <c:v>Diract </c:v>
                </c:pt>
                <c:pt idx="1">
                  <c:v>Indiract </c:v>
                </c:pt>
                <c:pt idx="2">
                  <c:v>Management </c:v>
                </c:pt>
              </c:strCache>
            </c:strRef>
          </c:cat>
          <c:val>
            <c:numRef>
              <c:f>Privot!$C$36:$C$38</c:f>
              <c:numCache>
                <c:formatCode>General</c:formatCode>
                <c:ptCount val="3"/>
                <c:pt idx="0">
                  <c:v>378</c:v>
                </c:pt>
                <c:pt idx="1">
                  <c:v>24</c:v>
                </c:pt>
                <c:pt idx="2">
                  <c:v>7</c:v>
                </c:pt>
              </c:numCache>
            </c:numRef>
          </c:val>
          <c:extLst>
            <c:ext xmlns:c16="http://schemas.microsoft.com/office/drawing/2014/chart" uri="{C3380CC4-5D6E-409C-BE32-E72D297353CC}">
              <c16:uniqueId val="{00000006-87D5-4C6F-8051-7B570763AD8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27</xdr:col>
      <xdr:colOff>190500</xdr:colOff>
      <xdr:row>1</xdr:row>
      <xdr:rowOff>190499</xdr:rowOff>
    </xdr:from>
    <xdr:to>
      <xdr:col>30</xdr:col>
      <xdr:colOff>323849</xdr:colOff>
      <xdr:row>7</xdr:row>
      <xdr:rowOff>19049</xdr:rowOff>
    </xdr:to>
    <mc:AlternateContent xmlns:mc="http://schemas.openxmlformats.org/markup-compatibility/2006" xmlns:a14="http://schemas.microsoft.com/office/drawing/2010/main">
      <mc:Choice Requires="a14">
        <xdr:graphicFrame macro="">
          <xdr:nvGraphicFramePr>
            <xdr:cNvPr id="48" name="Working status 1">
              <a:extLst>
                <a:ext uri="{FF2B5EF4-FFF2-40B4-BE49-F238E27FC236}">
                  <a16:creationId xmlns:a16="http://schemas.microsoft.com/office/drawing/2014/main" id="{74BC8C7A-7AEE-41AE-A57E-F401CE12DDC8}"/>
                </a:ext>
              </a:extLst>
            </xdr:cNvPr>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mlns="">
        <xdr:sp macro="" textlink="">
          <xdr:nvSpPr>
            <xdr:cNvPr id="0" name=""/>
            <xdr:cNvSpPr>
              <a:spLocks noTextEdit="1"/>
            </xdr:cNvSpPr>
          </xdr:nvSpPr>
          <xdr:spPr>
            <a:xfrm>
              <a:off x="15401925" y="380999"/>
              <a:ext cx="1962149"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154305</xdr:colOff>
      <xdr:row>7</xdr:row>
      <xdr:rowOff>26668</xdr:rowOff>
    </xdr:from>
    <xdr:to>
      <xdr:col>30</xdr:col>
      <xdr:colOff>349105</xdr:colOff>
      <xdr:row>9</xdr:row>
      <xdr:rowOff>66676</xdr:rowOff>
    </xdr:to>
    <mc:AlternateContent xmlns:mc="http://schemas.openxmlformats.org/markup-compatibility/2006" xmlns:a14="http://schemas.microsoft.com/office/drawing/2010/main">
      <mc:Choice Requires="a14">
        <xdr:graphicFrame macro="">
          <xdr:nvGraphicFramePr>
            <xdr:cNvPr id="65" name="Marital Status">
              <a:extLst>
                <a:ext uri="{FF2B5EF4-FFF2-40B4-BE49-F238E27FC236}">
                  <a16:creationId xmlns:a16="http://schemas.microsoft.com/office/drawing/2014/main" id="{B0863086-7515-4726-A78A-629423749BA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365730" y="1360168"/>
              <a:ext cx="2023600" cy="421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41909</xdr:colOff>
      <xdr:row>8</xdr:row>
      <xdr:rowOff>156209</xdr:rowOff>
    </xdr:from>
    <xdr:to>
      <xdr:col>12</xdr:col>
      <xdr:colOff>238125</xdr:colOff>
      <xdr:row>19</xdr:row>
      <xdr:rowOff>0</xdr:rowOff>
    </xdr:to>
    <xdr:sp macro="" textlink="">
      <xdr:nvSpPr>
        <xdr:cNvPr id="27" name="Rectangle 26">
          <a:extLst>
            <a:ext uri="{FF2B5EF4-FFF2-40B4-BE49-F238E27FC236}">
              <a16:creationId xmlns:a16="http://schemas.microsoft.com/office/drawing/2014/main" id="{FA0967A8-A7C5-49AE-9385-7436C95113E7}"/>
            </a:ext>
          </a:extLst>
        </xdr:cNvPr>
        <xdr:cNvSpPr/>
      </xdr:nvSpPr>
      <xdr:spPr>
        <a:xfrm>
          <a:off x="2670809" y="1604009"/>
          <a:ext cx="4063366" cy="1834516"/>
        </a:xfrm>
        <a:prstGeom prst="rect">
          <a:avLst/>
        </a:prstGeom>
        <a:solidFill>
          <a:schemeClr val="tx1">
            <a:lumMod val="85000"/>
            <a:lumOff val="15000"/>
          </a:schemeClr>
        </a:solidFill>
        <a:ln w="25400">
          <a:gradFill>
            <a:gsLst>
              <a:gs pos="0">
                <a:schemeClr val="tx2"/>
              </a:gs>
              <a:gs pos="74000">
                <a:schemeClr val="bg2"/>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204090</xdr:colOff>
      <xdr:row>9</xdr:row>
      <xdr:rowOff>39458</xdr:rowOff>
    </xdr:from>
    <xdr:to>
      <xdr:col>30</xdr:col>
      <xdr:colOff>412527</xdr:colOff>
      <xdr:row>11</xdr:row>
      <xdr:rowOff>133350</xdr:rowOff>
    </xdr:to>
    <mc:AlternateContent xmlns:mc="http://schemas.openxmlformats.org/markup-compatibility/2006" xmlns:a14="http://schemas.microsoft.com/office/drawing/2010/main">
      <mc:Choice Requires="a14">
        <xdr:graphicFrame macro="">
          <xdr:nvGraphicFramePr>
            <xdr:cNvPr id="63" name="Employee Type">
              <a:extLst>
                <a:ext uri="{FF2B5EF4-FFF2-40B4-BE49-F238E27FC236}">
                  <a16:creationId xmlns:a16="http://schemas.microsoft.com/office/drawing/2014/main" id="{AD51A077-AA18-4C42-B9F7-BD7801F1D1A5}"/>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15415515" y="1753958"/>
              <a:ext cx="2037237" cy="474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0</xdr:row>
      <xdr:rowOff>9524</xdr:rowOff>
    </xdr:from>
    <xdr:to>
      <xdr:col>31</xdr:col>
      <xdr:colOff>485775</xdr:colOff>
      <xdr:row>1</xdr:row>
      <xdr:rowOff>133350</xdr:rowOff>
    </xdr:to>
    <xdr:sp macro="" textlink="">
      <xdr:nvSpPr>
        <xdr:cNvPr id="5" name="Rectangle 4">
          <a:extLst>
            <a:ext uri="{FF2B5EF4-FFF2-40B4-BE49-F238E27FC236}">
              <a16:creationId xmlns:a16="http://schemas.microsoft.com/office/drawing/2014/main" id="{66CB6C28-E09C-4A86-8105-1FBAD9D23A1B}"/>
            </a:ext>
          </a:extLst>
        </xdr:cNvPr>
        <xdr:cNvSpPr/>
      </xdr:nvSpPr>
      <xdr:spPr>
        <a:xfrm>
          <a:off x="2457450" y="9524"/>
          <a:ext cx="16468725" cy="30480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304800</xdr:colOff>
      <xdr:row>19</xdr:row>
      <xdr:rowOff>133350</xdr:rowOff>
    </xdr:from>
    <xdr:to>
      <xdr:col>19</xdr:col>
      <xdr:colOff>476250</xdr:colOff>
      <xdr:row>36</xdr:row>
      <xdr:rowOff>28575</xdr:rowOff>
    </xdr:to>
    <xdr:graphicFrame macro="">
      <xdr:nvGraphicFramePr>
        <xdr:cNvPr id="45" name="Chart 44">
          <a:extLst>
            <a:ext uri="{FF2B5EF4-FFF2-40B4-BE49-F238E27FC236}">
              <a16:creationId xmlns:a16="http://schemas.microsoft.com/office/drawing/2014/main" id="{29922ED0-A11F-4B15-9A38-58279686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xdr:colOff>
      <xdr:row>2</xdr:row>
      <xdr:rowOff>19050</xdr:rowOff>
    </xdr:from>
    <xdr:to>
      <xdr:col>26</xdr:col>
      <xdr:colOff>333375</xdr:colOff>
      <xdr:row>4</xdr:row>
      <xdr:rowOff>179070</xdr:rowOff>
    </xdr:to>
    <mc:AlternateContent xmlns:mc="http://schemas.openxmlformats.org/markup-compatibility/2006" xmlns:a14="http://schemas.microsoft.com/office/drawing/2010/main">
      <mc:Choice Requires="a14">
        <xdr:graphicFrame macro="">
          <xdr:nvGraphicFramePr>
            <xdr:cNvPr id="36" name="Department">
              <a:extLst>
                <a:ext uri="{FF2B5EF4-FFF2-40B4-BE49-F238E27FC236}">
                  <a16:creationId xmlns:a16="http://schemas.microsoft.com/office/drawing/2014/main" id="{AA07113C-8788-4837-8B9C-C252B61937F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83180" y="381000"/>
              <a:ext cx="15438120" cy="521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405268</xdr:colOff>
      <xdr:row>20</xdr:row>
      <xdr:rowOff>15902</xdr:rowOff>
    </xdr:from>
    <xdr:to>
      <xdr:col>18</xdr:col>
      <xdr:colOff>142875</xdr:colOff>
      <xdr:row>21</xdr:row>
      <xdr:rowOff>82578</xdr:rowOff>
    </xdr:to>
    <xdr:sp macro="" textlink="">
      <xdr:nvSpPr>
        <xdr:cNvPr id="32" name="Rectangle 31">
          <a:extLst>
            <a:ext uri="{FF2B5EF4-FFF2-40B4-BE49-F238E27FC236}">
              <a16:creationId xmlns:a16="http://schemas.microsoft.com/office/drawing/2014/main" id="{6BD0D717-865D-4A41-83CB-20E9EEEF2671}"/>
            </a:ext>
          </a:extLst>
        </xdr:cNvPr>
        <xdr:cNvSpPr/>
      </xdr:nvSpPr>
      <xdr:spPr>
        <a:xfrm>
          <a:off x="8787268" y="3635402"/>
          <a:ext cx="1623557" cy="247651"/>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Designation</a:t>
          </a:r>
        </a:p>
      </xdr:txBody>
    </xdr:sp>
    <xdr:clientData/>
  </xdr:twoCellAnchor>
  <xdr:twoCellAnchor editAs="absolute">
    <xdr:from>
      <xdr:col>4</xdr:col>
      <xdr:colOff>262891</xdr:colOff>
      <xdr:row>19</xdr:row>
      <xdr:rowOff>146686</xdr:rowOff>
    </xdr:from>
    <xdr:to>
      <xdr:col>12</xdr:col>
      <xdr:colOff>114301</xdr:colOff>
      <xdr:row>36</xdr:row>
      <xdr:rowOff>19050</xdr:rowOff>
    </xdr:to>
    <xdr:graphicFrame macro="">
      <xdr:nvGraphicFramePr>
        <xdr:cNvPr id="39" name="Chart 38">
          <a:extLst>
            <a:ext uri="{FF2B5EF4-FFF2-40B4-BE49-F238E27FC236}">
              <a16:creationId xmlns:a16="http://schemas.microsoft.com/office/drawing/2014/main" id="{6EEBA474-ABC5-4A5F-A47D-A18223ADD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175260</xdr:colOff>
      <xdr:row>20</xdr:row>
      <xdr:rowOff>28573</xdr:rowOff>
    </xdr:from>
    <xdr:to>
      <xdr:col>10</xdr:col>
      <xdr:colOff>352425</xdr:colOff>
      <xdr:row>21</xdr:row>
      <xdr:rowOff>114299</xdr:rowOff>
    </xdr:to>
    <xdr:sp macro="" textlink="">
      <xdr:nvSpPr>
        <xdr:cNvPr id="34" name="Rectangle 33">
          <a:extLst>
            <a:ext uri="{FF2B5EF4-FFF2-40B4-BE49-F238E27FC236}">
              <a16:creationId xmlns:a16="http://schemas.microsoft.com/office/drawing/2014/main" id="{8037023D-6F52-4490-B4BA-5C9CE5C74316}"/>
            </a:ext>
          </a:extLst>
        </xdr:cNvPr>
        <xdr:cNvSpPr/>
      </xdr:nvSpPr>
      <xdr:spPr>
        <a:xfrm>
          <a:off x="3528060" y="3648073"/>
          <a:ext cx="2063115" cy="266701"/>
        </a:xfrm>
        <a:prstGeom prst="rect">
          <a:avLst/>
        </a:prstGeom>
        <a:noFill/>
        <a:ln>
          <a:gradFill>
            <a:gsLst>
              <a:gs pos="0">
                <a:schemeClr val="tx1">
                  <a:lumMod val="65000"/>
                  <a:lumOff val="35000"/>
                </a:schemeClr>
              </a:gs>
              <a:gs pos="96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by</a:t>
          </a:r>
          <a:r>
            <a:rPr lang="en-US" sz="1100" b="1" baseline="0"/>
            <a:t> Department</a:t>
          </a:r>
          <a:endParaRPr lang="en-US" sz="1100" b="1"/>
        </a:p>
      </xdr:txBody>
    </xdr:sp>
    <xdr:clientData/>
  </xdr:twoCellAnchor>
  <xdr:twoCellAnchor editAs="absolute">
    <xdr:from>
      <xdr:col>20</xdr:col>
      <xdr:colOff>184785</xdr:colOff>
      <xdr:row>19</xdr:row>
      <xdr:rowOff>133350</xdr:rowOff>
    </xdr:from>
    <xdr:to>
      <xdr:col>25</xdr:col>
      <xdr:colOff>375285</xdr:colOff>
      <xdr:row>26</xdr:row>
      <xdr:rowOff>123825</xdr:rowOff>
    </xdr:to>
    <xdr:graphicFrame macro="">
      <xdr:nvGraphicFramePr>
        <xdr:cNvPr id="46" name="Chart 45">
          <a:extLst>
            <a:ext uri="{FF2B5EF4-FFF2-40B4-BE49-F238E27FC236}">
              <a16:creationId xmlns:a16="http://schemas.microsoft.com/office/drawing/2014/main" id="{17FC4167-8295-48B2-8898-86F195704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20</xdr:col>
      <xdr:colOff>182880</xdr:colOff>
      <xdr:row>27</xdr:row>
      <xdr:rowOff>38100</xdr:rowOff>
    </xdr:from>
    <xdr:to>
      <xdr:col>25</xdr:col>
      <xdr:colOff>375285</xdr:colOff>
      <xdr:row>36</xdr:row>
      <xdr:rowOff>40005</xdr:rowOff>
    </xdr:to>
    <xdr:graphicFrame macro="">
      <xdr:nvGraphicFramePr>
        <xdr:cNvPr id="47" name="Chart 46">
          <a:extLst>
            <a:ext uri="{FF2B5EF4-FFF2-40B4-BE49-F238E27FC236}">
              <a16:creationId xmlns:a16="http://schemas.microsoft.com/office/drawing/2014/main" id="{97A34FB3-08AF-4CD9-92E9-C5B7921FC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235723</xdr:colOff>
      <xdr:row>27</xdr:row>
      <xdr:rowOff>109247</xdr:rowOff>
    </xdr:from>
    <xdr:to>
      <xdr:col>24</xdr:col>
      <xdr:colOff>601980</xdr:colOff>
      <xdr:row>29</xdr:row>
      <xdr:rowOff>4473</xdr:rowOff>
    </xdr:to>
    <xdr:sp macro="" textlink="">
      <xdr:nvSpPr>
        <xdr:cNvPr id="50" name="Rectangle 49">
          <a:extLst>
            <a:ext uri="{FF2B5EF4-FFF2-40B4-BE49-F238E27FC236}">
              <a16:creationId xmlns:a16="http://schemas.microsoft.com/office/drawing/2014/main" id="{05121147-EE74-460C-9670-3EDD939FDF61}"/>
            </a:ext>
          </a:extLst>
        </xdr:cNvPr>
        <xdr:cNvSpPr/>
      </xdr:nvSpPr>
      <xdr:spPr>
        <a:xfrm>
          <a:off x="13018273" y="4995572"/>
          <a:ext cx="1623557" cy="257176"/>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Categories </a:t>
          </a:r>
        </a:p>
      </xdr:txBody>
    </xdr:sp>
    <xdr:clientData/>
  </xdr:twoCellAnchor>
  <xdr:twoCellAnchor>
    <xdr:from>
      <xdr:col>22</xdr:col>
      <xdr:colOff>231913</xdr:colOff>
      <xdr:row>24</xdr:row>
      <xdr:rowOff>105437</xdr:rowOff>
    </xdr:from>
    <xdr:to>
      <xdr:col>24</xdr:col>
      <xdr:colOff>603885</xdr:colOff>
      <xdr:row>26</xdr:row>
      <xdr:rowOff>663</xdr:rowOff>
    </xdr:to>
    <xdr:sp macro="" textlink="">
      <xdr:nvSpPr>
        <xdr:cNvPr id="52" name="Rectangle 51">
          <a:extLst>
            <a:ext uri="{FF2B5EF4-FFF2-40B4-BE49-F238E27FC236}">
              <a16:creationId xmlns:a16="http://schemas.microsoft.com/office/drawing/2014/main" id="{0BD396F9-CC45-46E9-8EAD-7A09111F3804}"/>
            </a:ext>
          </a:extLst>
        </xdr:cNvPr>
        <xdr:cNvSpPr/>
      </xdr:nvSpPr>
      <xdr:spPr>
        <a:xfrm>
          <a:off x="13014463" y="4448837"/>
          <a:ext cx="1629272" cy="257176"/>
        </a:xfrm>
        <a:prstGeom prst="rect">
          <a:avLst/>
        </a:prstGeom>
        <a:noFill/>
        <a:ln>
          <a:gradFill>
            <a:gsLst>
              <a:gs pos="0">
                <a:schemeClr val="tx2"/>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Type</a:t>
          </a:r>
        </a:p>
      </xdr:txBody>
    </xdr:sp>
    <xdr:clientData/>
  </xdr:twoCellAnchor>
  <xdr:twoCellAnchor>
    <xdr:from>
      <xdr:col>13</xdr:col>
      <xdr:colOff>396240</xdr:colOff>
      <xdr:row>10</xdr:row>
      <xdr:rowOff>146685</xdr:rowOff>
    </xdr:from>
    <xdr:to>
      <xdr:col>14</xdr:col>
      <xdr:colOff>211455</xdr:colOff>
      <xdr:row>12</xdr:row>
      <xdr:rowOff>74295</xdr:rowOff>
    </xdr:to>
    <xdr:sp macro="" textlink="Privot!C47">
      <xdr:nvSpPr>
        <xdr:cNvPr id="56" name="Rectangle 55">
          <a:extLst>
            <a:ext uri="{FF2B5EF4-FFF2-40B4-BE49-F238E27FC236}">
              <a16:creationId xmlns:a16="http://schemas.microsoft.com/office/drawing/2014/main" id="{DBCC1FB0-B309-4A19-855C-526D205B22CB}"/>
            </a:ext>
          </a:extLst>
        </xdr:cNvPr>
        <xdr:cNvSpPr/>
      </xdr:nvSpPr>
      <xdr:spPr>
        <a:xfrm>
          <a:off x="7520940" y="1956435"/>
          <a:ext cx="443865" cy="28956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80DA8CB-305E-432C-B27A-0AF3FC50B6B8}" type="TxLink">
            <a:rPr lang="en-US" sz="1800" b="0" i="0" u="none" strike="noStrike">
              <a:solidFill>
                <a:schemeClr val="bg1"/>
              </a:solidFill>
              <a:latin typeface="Calibri"/>
              <a:cs typeface="Calibri"/>
            </a:rPr>
            <a:pPr algn="l"/>
            <a:t>69</a:t>
          </a:fld>
          <a:endParaRPr lang="en-US" sz="1800">
            <a:solidFill>
              <a:schemeClr val="bg1"/>
            </a:solidFill>
          </a:endParaRPr>
        </a:p>
      </xdr:txBody>
    </xdr:sp>
    <xdr:clientData/>
  </xdr:twoCellAnchor>
  <xdr:twoCellAnchor editAs="absolute">
    <xdr:from>
      <xdr:col>21</xdr:col>
      <xdr:colOff>66674</xdr:colOff>
      <xdr:row>8</xdr:row>
      <xdr:rowOff>139064</xdr:rowOff>
    </xdr:from>
    <xdr:to>
      <xdr:col>26</xdr:col>
      <xdr:colOff>180975</xdr:colOff>
      <xdr:row>19</xdr:row>
      <xdr:rowOff>19050</xdr:rowOff>
    </xdr:to>
    <xdr:graphicFrame macro="">
      <xdr:nvGraphicFramePr>
        <xdr:cNvPr id="58" name="Chart 57">
          <a:extLst>
            <a:ext uri="{FF2B5EF4-FFF2-40B4-BE49-F238E27FC236}">
              <a16:creationId xmlns:a16="http://schemas.microsoft.com/office/drawing/2014/main" id="{8D207B84-30B6-4433-A8EC-E7D2C6690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25</xdr:col>
      <xdr:colOff>457200</xdr:colOff>
      <xdr:row>19</xdr:row>
      <xdr:rowOff>120014</xdr:rowOff>
    </xdr:from>
    <xdr:to>
      <xdr:col>31</xdr:col>
      <xdr:colOff>9526</xdr:colOff>
      <xdr:row>36</xdr:row>
      <xdr:rowOff>47624</xdr:rowOff>
    </xdr:to>
    <xdr:graphicFrame macro="">
      <xdr:nvGraphicFramePr>
        <xdr:cNvPr id="59" name="Chart 58">
          <a:extLst>
            <a:ext uri="{FF2B5EF4-FFF2-40B4-BE49-F238E27FC236}">
              <a16:creationId xmlns:a16="http://schemas.microsoft.com/office/drawing/2014/main" id="{788B56AD-AE92-4EDD-A76D-8F5966FC3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100468</xdr:colOff>
      <xdr:row>20</xdr:row>
      <xdr:rowOff>19712</xdr:rowOff>
    </xdr:from>
    <xdr:to>
      <xdr:col>29</xdr:col>
      <xdr:colOff>447675</xdr:colOff>
      <xdr:row>21</xdr:row>
      <xdr:rowOff>86388</xdr:rowOff>
    </xdr:to>
    <xdr:sp macro="" textlink="">
      <xdr:nvSpPr>
        <xdr:cNvPr id="60" name="Rectangle 59">
          <a:extLst>
            <a:ext uri="{FF2B5EF4-FFF2-40B4-BE49-F238E27FC236}">
              <a16:creationId xmlns:a16="http://schemas.microsoft.com/office/drawing/2014/main" id="{A1989144-9E18-41B0-B6F2-A17F03C8DE76}"/>
            </a:ext>
          </a:extLst>
        </xdr:cNvPr>
        <xdr:cNvSpPr/>
      </xdr:nvSpPr>
      <xdr:spPr>
        <a:xfrm>
          <a:off x="16026268" y="3639212"/>
          <a:ext cx="1604507" cy="247651"/>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Living Area (Distance)</a:t>
          </a:r>
        </a:p>
      </xdr:txBody>
    </xdr:sp>
    <xdr:clientData/>
  </xdr:twoCellAnchor>
  <xdr:twoCellAnchor>
    <xdr:from>
      <xdr:col>22</xdr:col>
      <xdr:colOff>261609</xdr:colOff>
      <xdr:row>9</xdr:row>
      <xdr:rowOff>438</xdr:rowOff>
    </xdr:from>
    <xdr:to>
      <xdr:col>24</xdr:col>
      <xdr:colOff>43703</xdr:colOff>
      <xdr:row>10</xdr:row>
      <xdr:rowOff>86164</xdr:rowOff>
    </xdr:to>
    <xdr:sp macro="" textlink="">
      <xdr:nvSpPr>
        <xdr:cNvPr id="61" name="Rectangle 60">
          <a:extLst>
            <a:ext uri="{FF2B5EF4-FFF2-40B4-BE49-F238E27FC236}">
              <a16:creationId xmlns:a16="http://schemas.microsoft.com/office/drawing/2014/main" id="{DA6A18DD-23F3-48B6-AAB0-24DCA75BBA2E}"/>
            </a:ext>
          </a:extLst>
        </xdr:cNvPr>
        <xdr:cNvSpPr/>
      </xdr:nvSpPr>
      <xdr:spPr>
        <a:xfrm>
          <a:off x="12341550" y="1714938"/>
          <a:ext cx="992329" cy="276226"/>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Blood Group</a:t>
          </a:r>
        </a:p>
      </xdr:txBody>
    </xdr:sp>
    <xdr:clientData/>
  </xdr:twoCellAnchor>
  <xdr:twoCellAnchor editAs="oneCell">
    <xdr:from>
      <xdr:col>4</xdr:col>
      <xdr:colOff>20955</xdr:colOff>
      <xdr:row>4</xdr:row>
      <xdr:rowOff>114301</xdr:rowOff>
    </xdr:from>
    <xdr:to>
      <xdr:col>26</xdr:col>
      <xdr:colOff>323851</xdr:colOff>
      <xdr:row>7</xdr:row>
      <xdr:rowOff>104776</xdr:rowOff>
    </xdr:to>
    <mc:AlternateContent xmlns:mc="http://schemas.openxmlformats.org/markup-compatibility/2006" xmlns:a14="http://schemas.microsoft.com/office/drawing/2010/main">
      <mc:Choice Requires="a14">
        <xdr:graphicFrame macro="">
          <xdr:nvGraphicFramePr>
            <xdr:cNvPr id="62" name="Designation">
              <a:extLst>
                <a:ext uri="{FF2B5EF4-FFF2-40B4-BE49-F238E27FC236}">
                  <a16:creationId xmlns:a16="http://schemas.microsoft.com/office/drawing/2014/main" id="{AD362722-79C8-4FD0-B45C-8FF29D79A0D2}"/>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2030730" y="876301"/>
              <a:ext cx="12894946"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208416</xdr:colOff>
      <xdr:row>11</xdr:row>
      <xdr:rowOff>107511</xdr:rowOff>
    </xdr:from>
    <xdr:to>
      <xdr:col>30</xdr:col>
      <xdr:colOff>441959</xdr:colOff>
      <xdr:row>14</xdr:row>
      <xdr:rowOff>19049</xdr:rowOff>
    </xdr:to>
    <mc:AlternateContent xmlns:mc="http://schemas.openxmlformats.org/markup-compatibility/2006" xmlns:a14="http://schemas.microsoft.com/office/drawing/2010/main">
      <mc:Choice Requires="a14">
        <xdr:graphicFrame macro="">
          <xdr:nvGraphicFramePr>
            <xdr:cNvPr id="64" name="Gender">
              <a:extLst>
                <a:ext uri="{FF2B5EF4-FFF2-40B4-BE49-F238E27FC236}">
                  <a16:creationId xmlns:a16="http://schemas.microsoft.com/office/drawing/2014/main" id="{396FE39F-868F-481F-8F2D-E3DE3FB007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19841" y="2203011"/>
              <a:ext cx="2062343" cy="483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206655</xdr:colOff>
      <xdr:row>13</xdr:row>
      <xdr:rowOff>176089</xdr:rowOff>
    </xdr:from>
    <xdr:to>
      <xdr:col>30</xdr:col>
      <xdr:colOff>405352</xdr:colOff>
      <xdr:row>19</xdr:row>
      <xdr:rowOff>57150</xdr:rowOff>
    </xdr:to>
    <mc:AlternateContent xmlns:mc="http://schemas.openxmlformats.org/markup-compatibility/2006" xmlns:a14="http://schemas.microsoft.com/office/drawing/2010/main">
      <mc:Choice Requires="a14">
        <xdr:graphicFrame macro="">
          <xdr:nvGraphicFramePr>
            <xdr:cNvPr id="51" name="Blood Group">
              <a:extLst>
                <a:ext uri="{FF2B5EF4-FFF2-40B4-BE49-F238E27FC236}">
                  <a16:creationId xmlns:a16="http://schemas.microsoft.com/office/drawing/2014/main" id="{C63A756E-4CFB-49C2-8D0B-8539FB585995}"/>
                </a:ext>
              </a:extLst>
            </xdr:cNvPr>
            <xdr:cNvGraphicFramePr/>
          </xdr:nvGraphicFramePr>
          <xdr:xfrm>
            <a:off x="0" y="0"/>
            <a:ext cx="0" cy="0"/>
          </xdr:xfrm>
          <a:graphic>
            <a:graphicData uri="http://schemas.microsoft.com/office/drawing/2010/slicer">
              <sle:slicer xmlns:sle="http://schemas.microsoft.com/office/drawing/2010/slicer" name="Blood Group"/>
            </a:graphicData>
          </a:graphic>
        </xdr:graphicFrame>
      </mc:Choice>
      <mc:Fallback xmlns="">
        <xdr:sp macro="" textlink="">
          <xdr:nvSpPr>
            <xdr:cNvPr id="0" name=""/>
            <xdr:cNvSpPr>
              <a:spLocks noTextEdit="1"/>
            </xdr:cNvSpPr>
          </xdr:nvSpPr>
          <xdr:spPr>
            <a:xfrm>
              <a:off x="15418080" y="2652589"/>
              <a:ext cx="2027497" cy="1024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291467</xdr:colOff>
      <xdr:row>8</xdr:row>
      <xdr:rowOff>144778</xdr:rowOff>
    </xdr:from>
    <xdr:to>
      <xdr:col>16</xdr:col>
      <xdr:colOff>476251</xdr:colOff>
      <xdr:row>18</xdr:row>
      <xdr:rowOff>177164</xdr:rowOff>
    </xdr:to>
    <xdr:sp macro="" textlink="">
      <xdr:nvSpPr>
        <xdr:cNvPr id="33" name="Rectangle 32">
          <a:extLst>
            <a:ext uri="{FF2B5EF4-FFF2-40B4-BE49-F238E27FC236}">
              <a16:creationId xmlns:a16="http://schemas.microsoft.com/office/drawing/2014/main" id="{4E271CCD-98D5-4BD8-83DE-132B9724C883}"/>
            </a:ext>
          </a:extLst>
        </xdr:cNvPr>
        <xdr:cNvSpPr/>
      </xdr:nvSpPr>
      <xdr:spPr>
        <a:xfrm>
          <a:off x="6854192" y="1592578"/>
          <a:ext cx="2699384" cy="1842136"/>
        </a:xfrm>
        <a:prstGeom prst="rect">
          <a:avLst/>
        </a:prstGeom>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12</xdr:col>
      <xdr:colOff>556259</xdr:colOff>
      <xdr:row>9</xdr:row>
      <xdr:rowOff>144779</xdr:rowOff>
    </xdr:from>
    <xdr:to>
      <xdr:col>17</xdr:col>
      <xdr:colOff>180975</xdr:colOff>
      <xdr:row>18</xdr:row>
      <xdr:rowOff>104775</xdr:rowOff>
    </xdr:to>
    <xdr:graphicFrame macro="">
      <xdr:nvGraphicFramePr>
        <xdr:cNvPr id="53" name="Chart 52">
          <a:extLst>
            <a:ext uri="{FF2B5EF4-FFF2-40B4-BE49-F238E27FC236}">
              <a16:creationId xmlns:a16="http://schemas.microsoft.com/office/drawing/2014/main" id="{6C416CBA-75C9-4B76-A800-68EB8D30D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142875</xdr:colOff>
      <xdr:row>12</xdr:row>
      <xdr:rowOff>51435</xdr:rowOff>
    </xdr:from>
    <xdr:to>
      <xdr:col>13</xdr:col>
      <xdr:colOff>531496</xdr:colOff>
      <xdr:row>14</xdr:row>
      <xdr:rowOff>1905</xdr:rowOff>
    </xdr:to>
    <xdr:sp macro="" textlink="">
      <xdr:nvSpPr>
        <xdr:cNvPr id="4" name="Rectangle 3">
          <a:extLst>
            <a:ext uri="{FF2B5EF4-FFF2-40B4-BE49-F238E27FC236}">
              <a16:creationId xmlns:a16="http://schemas.microsoft.com/office/drawing/2014/main" id="{C93C6611-84F2-43C2-B39F-19CB4DDFAF7C}"/>
            </a:ext>
          </a:extLst>
        </xdr:cNvPr>
        <xdr:cNvSpPr/>
      </xdr:nvSpPr>
      <xdr:spPr>
        <a:xfrm>
          <a:off x="6705600" y="2223135"/>
          <a:ext cx="1017271" cy="312420"/>
        </a:xfrm>
        <a:prstGeom prst="rect">
          <a:avLst/>
        </a:prstGeom>
        <a:no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t>Married</a:t>
          </a:r>
        </a:p>
      </xdr:txBody>
    </xdr:sp>
    <xdr:clientData/>
  </xdr:twoCellAnchor>
  <xdr:twoCellAnchor>
    <xdr:from>
      <xdr:col>12</xdr:col>
      <xdr:colOff>36194</xdr:colOff>
      <xdr:row>16</xdr:row>
      <xdr:rowOff>32385</xdr:rowOff>
    </xdr:from>
    <xdr:to>
      <xdr:col>13</xdr:col>
      <xdr:colOff>398145</xdr:colOff>
      <xdr:row>17</xdr:row>
      <xdr:rowOff>173355</xdr:rowOff>
    </xdr:to>
    <xdr:sp macro="" textlink="">
      <xdr:nvSpPr>
        <xdr:cNvPr id="55" name="Rectangle 54">
          <a:extLst>
            <a:ext uri="{FF2B5EF4-FFF2-40B4-BE49-F238E27FC236}">
              <a16:creationId xmlns:a16="http://schemas.microsoft.com/office/drawing/2014/main" id="{01F63475-B7DA-4795-A045-768B14CB0BF7}"/>
            </a:ext>
          </a:extLst>
        </xdr:cNvPr>
        <xdr:cNvSpPr/>
      </xdr:nvSpPr>
      <xdr:spPr>
        <a:xfrm>
          <a:off x="6598919" y="2927985"/>
          <a:ext cx="990601" cy="321945"/>
        </a:xfrm>
        <a:prstGeom prst="rect">
          <a:avLst/>
        </a:prstGeom>
        <a:no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t>Single</a:t>
          </a:r>
          <a:endParaRPr lang="en-US" sz="1100"/>
        </a:p>
      </xdr:txBody>
    </xdr:sp>
    <xdr:clientData/>
  </xdr:twoCellAnchor>
  <xdr:twoCellAnchor>
    <xdr:from>
      <xdr:col>12</xdr:col>
      <xdr:colOff>510540</xdr:colOff>
      <xdr:row>14</xdr:row>
      <xdr:rowOff>112395</xdr:rowOff>
    </xdr:from>
    <xdr:to>
      <xdr:col>13</xdr:col>
      <xdr:colOff>533400</xdr:colOff>
      <xdr:row>16</xdr:row>
      <xdr:rowOff>72390</xdr:rowOff>
    </xdr:to>
    <xdr:sp macro="" textlink="Privot!C48">
      <xdr:nvSpPr>
        <xdr:cNvPr id="57" name="Rectangle 56">
          <a:extLst>
            <a:ext uri="{FF2B5EF4-FFF2-40B4-BE49-F238E27FC236}">
              <a16:creationId xmlns:a16="http://schemas.microsoft.com/office/drawing/2014/main" id="{14E56841-C8C6-4C1B-AE2A-09CBF0AC02E6}"/>
            </a:ext>
          </a:extLst>
        </xdr:cNvPr>
        <xdr:cNvSpPr/>
      </xdr:nvSpPr>
      <xdr:spPr>
        <a:xfrm>
          <a:off x="7073265" y="2646045"/>
          <a:ext cx="651510" cy="32194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EA0ACF3-B25E-4370-872D-6E6DED8C9487}" type="TxLink">
            <a:rPr lang="en-US" sz="1800" b="0" i="0" u="none" strike="noStrike">
              <a:solidFill>
                <a:schemeClr val="bg1"/>
              </a:solidFill>
              <a:latin typeface="Calibri"/>
              <a:cs typeface="Calibri"/>
            </a:rPr>
            <a:pPr algn="l"/>
            <a:t>340</a:t>
          </a:fld>
          <a:endParaRPr lang="en-US" sz="1800">
            <a:solidFill>
              <a:schemeClr val="bg1"/>
            </a:solidFill>
          </a:endParaRPr>
        </a:p>
      </xdr:txBody>
    </xdr:sp>
    <xdr:clientData/>
  </xdr:twoCellAnchor>
  <xdr:twoCellAnchor>
    <xdr:from>
      <xdr:col>12</xdr:col>
      <xdr:colOff>384810</xdr:colOff>
      <xdr:row>10</xdr:row>
      <xdr:rowOff>32385</xdr:rowOff>
    </xdr:from>
    <xdr:to>
      <xdr:col>12</xdr:col>
      <xdr:colOff>489585</xdr:colOff>
      <xdr:row>13</xdr:row>
      <xdr:rowOff>139065</xdr:rowOff>
    </xdr:to>
    <xdr:sp macro="" textlink="">
      <xdr:nvSpPr>
        <xdr:cNvPr id="90" name="Rectangle 89">
          <a:extLst>
            <a:ext uri="{FF2B5EF4-FFF2-40B4-BE49-F238E27FC236}">
              <a16:creationId xmlns:a16="http://schemas.microsoft.com/office/drawing/2014/main" id="{A9B6EE43-1E75-B98F-380E-36C56587CCEB}"/>
            </a:ext>
          </a:extLst>
        </xdr:cNvPr>
        <xdr:cNvSpPr/>
      </xdr:nvSpPr>
      <xdr:spPr>
        <a:xfrm>
          <a:off x="6947535" y="1842135"/>
          <a:ext cx="104775" cy="649605"/>
        </a:xfrm>
        <a:prstGeom prst="rect">
          <a:avLst/>
        </a:prstGeom>
        <a:solidFill>
          <a:srgbClr val="9C3E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548640</xdr:colOff>
      <xdr:row>10</xdr:row>
      <xdr:rowOff>74295</xdr:rowOff>
    </xdr:from>
    <xdr:to>
      <xdr:col>13</xdr:col>
      <xdr:colOff>571500</xdr:colOff>
      <xdr:row>12</xdr:row>
      <xdr:rowOff>34290</xdr:rowOff>
    </xdr:to>
    <xdr:sp macro="" textlink="Privot!C47">
      <xdr:nvSpPr>
        <xdr:cNvPr id="86" name="Rectangle 85">
          <a:extLst>
            <a:ext uri="{FF2B5EF4-FFF2-40B4-BE49-F238E27FC236}">
              <a16:creationId xmlns:a16="http://schemas.microsoft.com/office/drawing/2014/main" id="{09AD374F-5D30-7661-2844-C5E91AD0A685}"/>
            </a:ext>
          </a:extLst>
        </xdr:cNvPr>
        <xdr:cNvSpPr/>
      </xdr:nvSpPr>
      <xdr:spPr>
        <a:xfrm>
          <a:off x="7111365" y="1884045"/>
          <a:ext cx="651510" cy="32194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8FA7B23-8B00-4F09-A446-BEF8C0CB4806}" type="TxLink">
            <a:rPr lang="en-US" sz="1800" b="0" i="0" u="none" strike="noStrike">
              <a:solidFill>
                <a:schemeClr val="bg1"/>
              </a:solidFill>
              <a:latin typeface="Calibri"/>
              <a:ea typeface="Calibri"/>
              <a:cs typeface="Calibri"/>
            </a:rPr>
            <a:pPr algn="l"/>
            <a:t>69</a:t>
          </a:fld>
          <a:endParaRPr lang="en-US" sz="3200">
            <a:solidFill>
              <a:schemeClr val="bg1"/>
            </a:solidFill>
          </a:endParaRPr>
        </a:p>
      </xdr:txBody>
    </xdr:sp>
    <xdr:clientData/>
  </xdr:twoCellAnchor>
  <xdr:twoCellAnchor>
    <xdr:from>
      <xdr:col>12</xdr:col>
      <xdr:colOff>381000</xdr:colOff>
      <xdr:row>14</xdr:row>
      <xdr:rowOff>60960</xdr:rowOff>
    </xdr:from>
    <xdr:to>
      <xdr:col>12</xdr:col>
      <xdr:colOff>489585</xdr:colOff>
      <xdr:row>17</xdr:row>
      <xdr:rowOff>163830</xdr:rowOff>
    </xdr:to>
    <xdr:sp macro="" textlink="">
      <xdr:nvSpPr>
        <xdr:cNvPr id="91" name="Rectangle 90">
          <a:extLst>
            <a:ext uri="{FF2B5EF4-FFF2-40B4-BE49-F238E27FC236}">
              <a16:creationId xmlns:a16="http://schemas.microsoft.com/office/drawing/2014/main" id="{D29D5B44-20C8-0A6E-1D1E-CF729AFC5F8B}"/>
            </a:ext>
          </a:extLst>
        </xdr:cNvPr>
        <xdr:cNvSpPr/>
      </xdr:nvSpPr>
      <xdr:spPr>
        <a:xfrm>
          <a:off x="6943725" y="2594610"/>
          <a:ext cx="108585" cy="645795"/>
        </a:xfrm>
        <a:prstGeom prst="rect">
          <a:avLst/>
        </a:prstGeom>
        <a:solidFill>
          <a:schemeClr val="tx2"/>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55245</xdr:colOff>
      <xdr:row>9</xdr:row>
      <xdr:rowOff>41909</xdr:rowOff>
    </xdr:from>
    <xdr:to>
      <xdr:col>12</xdr:col>
      <xdr:colOff>301633</xdr:colOff>
      <xdr:row>18</xdr:row>
      <xdr:rowOff>180974</xdr:rowOff>
    </xdr:to>
    <xdr:grpSp>
      <xdr:nvGrpSpPr>
        <xdr:cNvPr id="8" name="Group 7">
          <a:extLst>
            <a:ext uri="{FF2B5EF4-FFF2-40B4-BE49-F238E27FC236}">
              <a16:creationId xmlns:a16="http://schemas.microsoft.com/office/drawing/2014/main" id="{B3C9C46A-0225-5AAC-61B3-6FDA97E3EBCD}"/>
            </a:ext>
          </a:extLst>
        </xdr:cNvPr>
        <xdr:cNvGrpSpPr/>
      </xdr:nvGrpSpPr>
      <xdr:grpSpPr>
        <a:xfrm>
          <a:off x="2478828" y="1756409"/>
          <a:ext cx="3929388" cy="1853565"/>
          <a:chOff x="2779395" y="1670684"/>
          <a:chExt cx="4018288" cy="1767840"/>
        </a:xfrm>
      </xdr:grpSpPr>
      <xdr:sp macro="" textlink="">
        <xdr:nvSpPr>
          <xdr:cNvPr id="82" name="Rectangle 81">
            <a:extLst>
              <a:ext uri="{FF2B5EF4-FFF2-40B4-BE49-F238E27FC236}">
                <a16:creationId xmlns:a16="http://schemas.microsoft.com/office/drawing/2014/main" id="{B67CBC62-FA91-77FD-3A5C-0C360EC088B3}"/>
              </a:ext>
            </a:extLst>
          </xdr:cNvPr>
          <xdr:cNvSpPr/>
        </xdr:nvSpPr>
        <xdr:spPr>
          <a:xfrm>
            <a:off x="2779395" y="2084070"/>
            <a:ext cx="106680" cy="640080"/>
          </a:xfrm>
          <a:prstGeom prst="rect">
            <a:avLst/>
          </a:prstGeom>
          <a:solidFill>
            <a:schemeClr val="bg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sp macro="" textlink="">
        <xdr:nvSpPr>
          <xdr:cNvPr id="28" name="Rectangle 27">
            <a:extLst>
              <a:ext uri="{FF2B5EF4-FFF2-40B4-BE49-F238E27FC236}">
                <a16:creationId xmlns:a16="http://schemas.microsoft.com/office/drawing/2014/main" id="{01B4E2A6-BB5F-4423-892F-9382FE0E7941}"/>
              </a:ext>
            </a:extLst>
          </xdr:cNvPr>
          <xdr:cNvSpPr/>
        </xdr:nvSpPr>
        <xdr:spPr>
          <a:xfrm>
            <a:off x="2834639" y="2409824"/>
            <a:ext cx="1680210" cy="28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TotalEmployees</a:t>
            </a:r>
            <a:endParaRPr lang="en-US" sz="1600" b="1">
              <a:solidFill>
                <a:schemeClr val="bg1">
                  <a:lumMod val="75000"/>
                </a:schemeClr>
              </a:solidFill>
            </a:endParaRPr>
          </a:p>
        </xdr:txBody>
      </xdr:sp>
      <xdr:sp macro="" textlink="">
        <xdr:nvSpPr>
          <xdr:cNvPr id="29" name="Rectangle 28">
            <a:extLst>
              <a:ext uri="{FF2B5EF4-FFF2-40B4-BE49-F238E27FC236}">
                <a16:creationId xmlns:a16="http://schemas.microsoft.com/office/drawing/2014/main" id="{1CC3C17A-6E2B-4F1B-AE2B-BA5DFDBA326C}"/>
              </a:ext>
            </a:extLst>
          </xdr:cNvPr>
          <xdr:cNvSpPr/>
        </xdr:nvSpPr>
        <xdr:spPr>
          <a:xfrm>
            <a:off x="4065270" y="2026919"/>
            <a:ext cx="830580" cy="272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Male</a:t>
            </a:r>
            <a:endParaRPr lang="en-US" sz="1100" b="1">
              <a:solidFill>
                <a:schemeClr val="bg1">
                  <a:lumMod val="75000"/>
                </a:schemeClr>
              </a:solidFill>
            </a:endParaRPr>
          </a:p>
        </xdr:txBody>
      </xdr:sp>
      <xdr:sp macro="" textlink="">
        <xdr:nvSpPr>
          <xdr:cNvPr id="30" name="Rectangle 29">
            <a:extLst>
              <a:ext uri="{FF2B5EF4-FFF2-40B4-BE49-F238E27FC236}">
                <a16:creationId xmlns:a16="http://schemas.microsoft.com/office/drawing/2014/main" id="{E200C02A-2299-4AF9-A4EE-228F5CA41C46}"/>
              </a:ext>
            </a:extLst>
          </xdr:cNvPr>
          <xdr:cNvSpPr/>
        </xdr:nvSpPr>
        <xdr:spPr>
          <a:xfrm>
            <a:off x="4078605" y="2987039"/>
            <a:ext cx="819150" cy="2819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Female</a:t>
            </a:r>
          </a:p>
        </xdr:txBody>
      </xdr:sp>
      <xdr:sp macro="" textlink="Privot!B5">
        <xdr:nvSpPr>
          <xdr:cNvPr id="37" name="Rectangle 36">
            <a:extLst>
              <a:ext uri="{FF2B5EF4-FFF2-40B4-BE49-F238E27FC236}">
                <a16:creationId xmlns:a16="http://schemas.microsoft.com/office/drawing/2014/main" id="{89BC140E-BCB2-44DD-A237-5CA34C889908}"/>
              </a:ext>
            </a:extLst>
          </xdr:cNvPr>
          <xdr:cNvSpPr/>
        </xdr:nvSpPr>
        <xdr:spPr>
          <a:xfrm>
            <a:off x="2790823" y="2085974"/>
            <a:ext cx="942976" cy="365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B79217-353C-4D64-9AB2-05B5EFFF21EE}" type="TxLink">
              <a:rPr lang="en-US" sz="2400" b="1" i="0" u="none" strike="noStrike">
                <a:solidFill>
                  <a:srgbClr val="9C3E00"/>
                </a:solidFill>
                <a:latin typeface="Calibri"/>
                <a:cs typeface="Calibri"/>
              </a:rPr>
              <a:pPr algn="ctr"/>
              <a:t>409</a:t>
            </a:fld>
            <a:endParaRPr lang="en-US" sz="2400" b="1">
              <a:solidFill>
                <a:srgbClr val="9C3E00"/>
              </a:solidFill>
            </a:endParaRPr>
          </a:p>
        </xdr:txBody>
      </xdr:sp>
      <xdr:sp macro="" textlink="$AI$20">
        <xdr:nvSpPr>
          <xdr:cNvPr id="40" name="Rectangle 39">
            <a:extLst>
              <a:ext uri="{FF2B5EF4-FFF2-40B4-BE49-F238E27FC236}">
                <a16:creationId xmlns:a16="http://schemas.microsoft.com/office/drawing/2014/main" id="{10798928-B06A-48C0-960F-89F19EE1C018}"/>
              </a:ext>
            </a:extLst>
          </xdr:cNvPr>
          <xdr:cNvSpPr/>
        </xdr:nvSpPr>
        <xdr:spPr>
          <a:xfrm>
            <a:off x="4040505" y="1739266"/>
            <a:ext cx="66294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245A214-0E89-43C4-AD12-98550BAA9F3A}" type="TxLink">
              <a:rPr lang="en-US" sz="1100" b="0" i="0" u="none" strike="noStrike">
                <a:solidFill>
                  <a:srgbClr val="000000"/>
                </a:solidFill>
                <a:latin typeface="Calibri"/>
                <a:ea typeface="Calibri"/>
                <a:cs typeface="Calibri"/>
              </a:rPr>
              <a:pPr algn="ctr"/>
              <a:t> </a:t>
            </a:fld>
            <a:endParaRPr lang="en-US" sz="2000" b="1">
              <a:solidFill>
                <a:schemeClr val="bg1"/>
              </a:solidFill>
            </a:endParaRPr>
          </a:p>
        </xdr:txBody>
      </xdr:sp>
      <xdr:sp macro="" textlink="Privot!C8">
        <xdr:nvSpPr>
          <xdr:cNvPr id="41" name="Rectangle 40">
            <a:extLst>
              <a:ext uri="{FF2B5EF4-FFF2-40B4-BE49-F238E27FC236}">
                <a16:creationId xmlns:a16="http://schemas.microsoft.com/office/drawing/2014/main" id="{ADE4067E-32B6-4E30-A5A5-FB8880F6F699}"/>
              </a:ext>
            </a:extLst>
          </xdr:cNvPr>
          <xdr:cNvSpPr/>
        </xdr:nvSpPr>
        <xdr:spPr>
          <a:xfrm>
            <a:off x="4120515" y="2705100"/>
            <a:ext cx="565785" cy="283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DF399D-8D10-4B2D-BE6E-1B837EF59B32}" type="TxLink">
              <a:rPr lang="en-US" sz="1800" b="1" i="0" u="none" strike="noStrike">
                <a:solidFill>
                  <a:schemeClr val="bg1"/>
                </a:solidFill>
                <a:latin typeface="Calibri"/>
                <a:cs typeface="Calibri"/>
              </a:rPr>
              <a:pPr algn="ctr"/>
              <a:t>138</a:t>
            </a:fld>
            <a:endParaRPr lang="en-US" sz="2000" b="1">
              <a:solidFill>
                <a:schemeClr val="bg1"/>
              </a:solidFill>
            </a:endParaRPr>
          </a:p>
        </xdr:txBody>
      </xdr:sp>
      <xdr:grpSp>
        <xdr:nvGrpSpPr>
          <xdr:cNvPr id="79" name="Group 78">
            <a:extLst>
              <a:ext uri="{FF2B5EF4-FFF2-40B4-BE49-F238E27FC236}">
                <a16:creationId xmlns:a16="http://schemas.microsoft.com/office/drawing/2014/main" id="{F69144DC-DF9F-2E34-1A95-ED3658AD4370}"/>
              </a:ext>
            </a:extLst>
          </xdr:cNvPr>
          <xdr:cNvGrpSpPr/>
        </xdr:nvGrpSpPr>
        <xdr:grpSpPr>
          <a:xfrm>
            <a:off x="4511039" y="1670684"/>
            <a:ext cx="2286644" cy="1767840"/>
            <a:chOff x="4389303" y="1755857"/>
            <a:chExt cx="2207895" cy="1832610"/>
          </a:xfrm>
        </xdr:grpSpPr>
        <xdr:graphicFrame macro="">
          <xdr:nvGraphicFramePr>
            <xdr:cNvPr id="42" name="Chart 41">
              <a:extLst>
                <a:ext uri="{FF2B5EF4-FFF2-40B4-BE49-F238E27FC236}">
                  <a16:creationId xmlns:a16="http://schemas.microsoft.com/office/drawing/2014/main" id="{0DBBA304-BC71-440F-9DBB-F948F4F93462}"/>
                </a:ext>
              </a:extLst>
            </xdr:cNvPr>
            <xdr:cNvGraphicFramePr>
              <a:graphicFrameLocks/>
            </xdr:cNvGraphicFramePr>
          </xdr:nvGraphicFramePr>
          <xdr:xfrm>
            <a:off x="4389303" y="1755857"/>
            <a:ext cx="2207895" cy="1832610"/>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76" name="Graphic 75" descr="Male profile with solid fill">
              <a:extLst>
                <a:ext uri="{FF2B5EF4-FFF2-40B4-BE49-F238E27FC236}">
                  <a16:creationId xmlns:a16="http://schemas.microsoft.com/office/drawing/2014/main" id="{F0695F6A-6CD1-55D9-637A-31D0ACAB0F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908859" y="2295504"/>
              <a:ext cx="672465" cy="662940"/>
            </a:xfrm>
            <a:prstGeom prst="rect">
              <a:avLst/>
            </a:prstGeom>
          </xdr:spPr>
        </xdr:pic>
        <xdr:pic>
          <xdr:nvPicPr>
            <xdr:cNvPr id="77" name="Graphic 76" descr="Female Profile with solid fill">
              <a:extLst>
                <a:ext uri="{FF2B5EF4-FFF2-40B4-BE49-F238E27FC236}">
                  <a16:creationId xmlns:a16="http://schemas.microsoft.com/office/drawing/2014/main" id="{CA6A30A3-C367-F4A0-FA10-91BEADEF757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478633" y="2296473"/>
              <a:ext cx="661035" cy="674370"/>
            </a:xfrm>
            <a:prstGeom prst="rect">
              <a:avLst/>
            </a:prstGeom>
          </xdr:spPr>
        </xdr:pic>
      </xdr:grpSp>
      <xdr:sp macro="" textlink="">
        <xdr:nvSpPr>
          <xdr:cNvPr id="84" name="Rectangle 83">
            <a:extLst>
              <a:ext uri="{FF2B5EF4-FFF2-40B4-BE49-F238E27FC236}">
                <a16:creationId xmlns:a16="http://schemas.microsoft.com/office/drawing/2014/main" id="{C9B5964E-3A72-3FCF-789E-D7E21C4D1C76}"/>
              </a:ext>
            </a:extLst>
          </xdr:cNvPr>
          <xdr:cNvSpPr/>
        </xdr:nvSpPr>
        <xdr:spPr>
          <a:xfrm>
            <a:off x="4019550" y="2653665"/>
            <a:ext cx="106680" cy="632460"/>
          </a:xfrm>
          <a:prstGeom prst="rect">
            <a:avLst/>
          </a:prstGeom>
          <a:solidFill>
            <a:schemeClr val="tx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sp macro="" textlink="">
        <xdr:nvSpPr>
          <xdr:cNvPr id="85" name="Rectangle 84">
            <a:extLst>
              <a:ext uri="{FF2B5EF4-FFF2-40B4-BE49-F238E27FC236}">
                <a16:creationId xmlns:a16="http://schemas.microsoft.com/office/drawing/2014/main" id="{68040D4E-C1B3-75FD-639D-40A762C4F43B}"/>
              </a:ext>
            </a:extLst>
          </xdr:cNvPr>
          <xdr:cNvSpPr/>
        </xdr:nvSpPr>
        <xdr:spPr>
          <a:xfrm>
            <a:off x="4000500" y="1680210"/>
            <a:ext cx="108585" cy="645795"/>
          </a:xfrm>
          <a:prstGeom prst="rect">
            <a:avLst/>
          </a:prstGeom>
          <a:solidFill>
            <a:srgbClr val="9C3E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pic>
        <xdr:nvPicPr>
          <xdr:cNvPr id="98" name="Graphic 97" descr="Group of women with solid fill">
            <a:extLst>
              <a:ext uri="{FF2B5EF4-FFF2-40B4-BE49-F238E27FC236}">
                <a16:creationId xmlns:a16="http://schemas.microsoft.com/office/drawing/2014/main" id="{9459EC6E-DB9D-2F1D-2375-9E21CB08636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533775" y="2076450"/>
            <a:ext cx="381000" cy="361950"/>
          </a:xfrm>
          <a:prstGeom prst="rect">
            <a:avLst/>
          </a:prstGeom>
        </xdr:spPr>
      </xdr:pic>
    </xdr:grpSp>
    <xdr:clientData/>
  </xdr:twoCellAnchor>
  <xdr:twoCellAnchor>
    <xdr:from>
      <xdr:col>18</xdr:col>
      <xdr:colOff>548640</xdr:colOff>
      <xdr:row>9</xdr:row>
      <xdr:rowOff>41910</xdr:rowOff>
    </xdr:from>
    <xdr:to>
      <xdr:col>19</xdr:col>
      <xdr:colOff>571500</xdr:colOff>
      <xdr:row>10</xdr:row>
      <xdr:rowOff>142875</xdr:rowOff>
    </xdr:to>
    <xdr:sp macro="" textlink="Privot!D72">
      <xdr:nvSpPr>
        <xdr:cNvPr id="9" name="Rectangle 8">
          <a:extLst>
            <a:ext uri="{FF2B5EF4-FFF2-40B4-BE49-F238E27FC236}">
              <a16:creationId xmlns:a16="http://schemas.microsoft.com/office/drawing/2014/main" id="{C84D907A-5EB3-9A23-C1FD-B18CA2AAAEF4}"/>
            </a:ext>
          </a:extLst>
        </xdr:cNvPr>
        <xdr:cNvSpPr/>
      </xdr:nvSpPr>
      <xdr:spPr>
        <a:xfrm>
          <a:off x="10816590" y="1670685"/>
          <a:ext cx="65151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00A507A-2C6F-40B1-AB7B-CA299B7B592A}"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20</xdr:col>
      <xdr:colOff>262890</xdr:colOff>
      <xdr:row>9</xdr:row>
      <xdr:rowOff>3810</xdr:rowOff>
    </xdr:from>
    <xdr:to>
      <xdr:col>21</xdr:col>
      <xdr:colOff>190500</xdr:colOff>
      <xdr:row>10</xdr:row>
      <xdr:rowOff>104775</xdr:rowOff>
    </xdr:to>
    <xdr:sp macro="" textlink="Privot!E72">
      <xdr:nvSpPr>
        <xdr:cNvPr id="18" name="Rectangle 17">
          <a:extLst>
            <a:ext uri="{FF2B5EF4-FFF2-40B4-BE49-F238E27FC236}">
              <a16:creationId xmlns:a16="http://schemas.microsoft.com/office/drawing/2014/main" id="{A7EDFE84-7E16-C7E6-3B6E-641857FE1FC2}"/>
            </a:ext>
          </a:extLst>
        </xdr:cNvPr>
        <xdr:cNvSpPr/>
      </xdr:nvSpPr>
      <xdr:spPr>
        <a:xfrm>
          <a:off x="11788140" y="1632585"/>
          <a:ext cx="55626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C8F8AD6-1C07-478A-893B-1A842C7441ED}"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21</xdr:col>
      <xdr:colOff>472440</xdr:colOff>
      <xdr:row>9</xdr:row>
      <xdr:rowOff>32385</xdr:rowOff>
    </xdr:from>
    <xdr:to>
      <xdr:col>22</xdr:col>
      <xdr:colOff>495300</xdr:colOff>
      <xdr:row>10</xdr:row>
      <xdr:rowOff>133350</xdr:rowOff>
    </xdr:to>
    <xdr:sp macro="" textlink="Privot!#REF!">
      <xdr:nvSpPr>
        <xdr:cNvPr id="20" name="Rectangle 19">
          <a:extLst>
            <a:ext uri="{FF2B5EF4-FFF2-40B4-BE49-F238E27FC236}">
              <a16:creationId xmlns:a16="http://schemas.microsoft.com/office/drawing/2014/main" id="{A2D6FCD2-2430-883E-C6E8-D47148AF0458}"/>
            </a:ext>
          </a:extLst>
        </xdr:cNvPr>
        <xdr:cNvSpPr/>
      </xdr:nvSpPr>
      <xdr:spPr>
        <a:xfrm>
          <a:off x="12626340" y="1661160"/>
          <a:ext cx="65151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E5DA0C3-770C-44D9-92C0-4760157F1BEA}"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17</xdr:col>
      <xdr:colOff>47623</xdr:colOff>
      <xdr:row>8</xdr:row>
      <xdr:rowOff>133351</xdr:rowOff>
    </xdr:from>
    <xdr:to>
      <xdr:col>20</xdr:col>
      <xdr:colOff>447674</xdr:colOff>
      <xdr:row>18</xdr:row>
      <xdr:rowOff>180976</xdr:rowOff>
    </xdr:to>
    <xdr:sp macro="" textlink="">
      <xdr:nvSpPr>
        <xdr:cNvPr id="7" name="Rectangle 6">
          <a:extLst>
            <a:ext uri="{FF2B5EF4-FFF2-40B4-BE49-F238E27FC236}">
              <a16:creationId xmlns:a16="http://schemas.microsoft.com/office/drawing/2014/main" id="{7E0E9677-B57A-4C34-A8B2-C67F6631CF8E}"/>
            </a:ext>
          </a:extLst>
        </xdr:cNvPr>
        <xdr:cNvSpPr/>
      </xdr:nvSpPr>
      <xdr:spPr>
        <a:xfrm>
          <a:off x="9163048" y="1657351"/>
          <a:ext cx="2228851" cy="1952625"/>
        </a:xfrm>
        <a:prstGeom prst="rect">
          <a:avLst/>
        </a:prstGeom>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17</xdr:col>
      <xdr:colOff>371475</xdr:colOff>
      <xdr:row>9</xdr:row>
      <xdr:rowOff>171450</xdr:rowOff>
    </xdr:from>
    <xdr:to>
      <xdr:col>20</xdr:col>
      <xdr:colOff>123825</xdr:colOff>
      <xdr:row>19</xdr:row>
      <xdr:rowOff>152400</xdr:rowOff>
    </xdr:to>
    <xdr:graphicFrame macro="">
      <xdr:nvGraphicFramePr>
        <xdr:cNvPr id="35" name="Chart 34">
          <a:extLst>
            <a:ext uri="{FF2B5EF4-FFF2-40B4-BE49-F238E27FC236}">
              <a16:creationId xmlns:a16="http://schemas.microsoft.com/office/drawing/2014/main" id="{A8D6C5A1-396C-46FF-81B6-CFAAC1BF6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584338</xdr:colOff>
      <xdr:row>9</xdr:row>
      <xdr:rowOff>36857</xdr:rowOff>
    </xdr:from>
    <xdr:to>
      <xdr:col>19</xdr:col>
      <xdr:colOff>533400</xdr:colOff>
      <xdr:row>10</xdr:row>
      <xdr:rowOff>38100</xdr:rowOff>
    </xdr:to>
    <xdr:sp macro="" textlink="">
      <xdr:nvSpPr>
        <xdr:cNvPr id="43" name="Rectangle 42">
          <a:extLst>
            <a:ext uri="{FF2B5EF4-FFF2-40B4-BE49-F238E27FC236}">
              <a16:creationId xmlns:a16="http://schemas.microsoft.com/office/drawing/2014/main" id="{B8FF683E-1303-2E68-57A2-E72EC79343DF}"/>
            </a:ext>
          </a:extLst>
        </xdr:cNvPr>
        <xdr:cNvSpPr/>
      </xdr:nvSpPr>
      <xdr:spPr>
        <a:xfrm>
          <a:off x="9699763" y="1751357"/>
          <a:ext cx="1168262" cy="191743"/>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Working Status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238125</xdr:colOff>
      <xdr:row>0</xdr:row>
      <xdr:rowOff>28576</xdr:rowOff>
    </xdr:from>
    <xdr:to>
      <xdr:col>13</xdr:col>
      <xdr:colOff>381000</xdr:colOff>
      <xdr:row>6</xdr:row>
      <xdr:rowOff>161926</xdr:rowOff>
    </xdr:to>
    <mc:AlternateContent xmlns:mc="http://schemas.openxmlformats.org/markup-compatibility/2006">
      <mc:Choice xmlns:a14="http://schemas.microsoft.com/office/drawing/2010/main" Requires="a14">
        <xdr:graphicFrame macro="">
          <xdr:nvGraphicFramePr>
            <xdr:cNvPr id="7" name="Department 2">
              <a:extLst>
                <a:ext uri="{FF2B5EF4-FFF2-40B4-BE49-F238E27FC236}">
                  <a16:creationId xmlns:a16="http://schemas.microsoft.com/office/drawing/2014/main" id="{5901B04E-2F07-675D-A8BC-CADB61D612D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115300" y="2857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542925</xdr:colOff>
      <xdr:row>0</xdr:row>
      <xdr:rowOff>142875</xdr:rowOff>
    </xdr:from>
    <xdr:to>
      <xdr:col>4</xdr:col>
      <xdr:colOff>266700</xdr:colOff>
      <xdr:row>34</xdr:row>
      <xdr:rowOff>142875</xdr:rowOff>
    </xdr:to>
    <xdr:sp macro="" textlink="">
      <xdr:nvSpPr>
        <xdr:cNvPr id="11" name="Rectangle: Rounded Corners 10">
          <a:extLst>
            <a:ext uri="{FF2B5EF4-FFF2-40B4-BE49-F238E27FC236}">
              <a16:creationId xmlns:a16="http://schemas.microsoft.com/office/drawing/2014/main" id="{063F586A-FF94-4F2E-A5B2-D434F6FE698D}"/>
            </a:ext>
          </a:extLst>
        </xdr:cNvPr>
        <xdr:cNvSpPr/>
      </xdr:nvSpPr>
      <xdr:spPr>
        <a:xfrm>
          <a:off x="542925" y="142875"/>
          <a:ext cx="2162175" cy="6477000"/>
        </a:xfrm>
        <a:prstGeom prst="roundRect">
          <a:avLst/>
        </a:prstGeom>
        <a:solidFill>
          <a:schemeClr val="tx1">
            <a:lumMod val="50000"/>
            <a:lumOff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xdr:colOff>
      <xdr:row>1</xdr:row>
      <xdr:rowOff>161924</xdr:rowOff>
    </xdr:from>
    <xdr:to>
      <xdr:col>7</xdr:col>
      <xdr:colOff>285750</xdr:colOff>
      <xdr:row>5</xdr:row>
      <xdr:rowOff>38099</xdr:rowOff>
    </xdr:to>
    <xdr:sp macro="" textlink="">
      <xdr:nvSpPr>
        <xdr:cNvPr id="2" name="Rectangle: Rounded Corners 1">
          <a:extLst>
            <a:ext uri="{FF2B5EF4-FFF2-40B4-BE49-F238E27FC236}">
              <a16:creationId xmlns:a16="http://schemas.microsoft.com/office/drawing/2014/main" id="{936B7898-3A1D-31A4-BC10-EC648925DF0D}"/>
            </a:ext>
          </a:extLst>
        </xdr:cNvPr>
        <xdr:cNvSpPr/>
      </xdr:nvSpPr>
      <xdr:spPr>
        <a:xfrm>
          <a:off x="3133725" y="352424"/>
          <a:ext cx="1419225" cy="638175"/>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581025</xdr:colOff>
      <xdr:row>1</xdr:row>
      <xdr:rowOff>152399</xdr:rowOff>
    </xdr:from>
    <xdr:to>
      <xdr:col>10</xdr:col>
      <xdr:colOff>171450</xdr:colOff>
      <xdr:row>5</xdr:row>
      <xdr:rowOff>28574</xdr:rowOff>
    </xdr:to>
    <xdr:sp macro="" textlink="">
      <xdr:nvSpPr>
        <xdr:cNvPr id="3" name="Rectangle: Rounded Corners 2">
          <a:extLst>
            <a:ext uri="{FF2B5EF4-FFF2-40B4-BE49-F238E27FC236}">
              <a16:creationId xmlns:a16="http://schemas.microsoft.com/office/drawing/2014/main" id="{8B3A3616-2689-4CB4-BF75-ED3AF0F397AF}"/>
            </a:ext>
          </a:extLst>
        </xdr:cNvPr>
        <xdr:cNvSpPr/>
      </xdr:nvSpPr>
      <xdr:spPr>
        <a:xfrm>
          <a:off x="4848225" y="342899"/>
          <a:ext cx="1419225" cy="638175"/>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466725</xdr:colOff>
      <xdr:row>1</xdr:row>
      <xdr:rowOff>171449</xdr:rowOff>
    </xdr:from>
    <xdr:to>
      <xdr:col>13</xdr:col>
      <xdr:colOff>57150</xdr:colOff>
      <xdr:row>5</xdr:row>
      <xdr:rowOff>47624</xdr:rowOff>
    </xdr:to>
    <xdr:sp macro="" textlink="">
      <xdr:nvSpPr>
        <xdr:cNvPr id="4" name="Rectangle: Rounded Corners 3">
          <a:extLst>
            <a:ext uri="{FF2B5EF4-FFF2-40B4-BE49-F238E27FC236}">
              <a16:creationId xmlns:a16="http://schemas.microsoft.com/office/drawing/2014/main" id="{BE29A1A1-24AA-43F1-9E86-A4C806402AAF}"/>
            </a:ext>
          </a:extLst>
        </xdr:cNvPr>
        <xdr:cNvSpPr/>
      </xdr:nvSpPr>
      <xdr:spPr>
        <a:xfrm>
          <a:off x="6562725" y="361949"/>
          <a:ext cx="1419225" cy="638175"/>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390525</xdr:colOff>
      <xdr:row>2</xdr:row>
      <xdr:rowOff>9524</xdr:rowOff>
    </xdr:from>
    <xdr:to>
      <xdr:col>15</xdr:col>
      <xdr:colOff>590550</xdr:colOff>
      <xdr:row>5</xdr:row>
      <xdr:rowOff>76199</xdr:rowOff>
    </xdr:to>
    <xdr:sp macro="" textlink="">
      <xdr:nvSpPr>
        <xdr:cNvPr id="5" name="Rectangle: Rounded Corners 4">
          <a:extLst>
            <a:ext uri="{FF2B5EF4-FFF2-40B4-BE49-F238E27FC236}">
              <a16:creationId xmlns:a16="http://schemas.microsoft.com/office/drawing/2014/main" id="{447B9A24-FB12-48B1-A283-BB189BA459D8}"/>
            </a:ext>
          </a:extLst>
        </xdr:cNvPr>
        <xdr:cNvSpPr/>
      </xdr:nvSpPr>
      <xdr:spPr>
        <a:xfrm>
          <a:off x="8315325" y="390524"/>
          <a:ext cx="1419225" cy="638175"/>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6</xdr:row>
      <xdr:rowOff>171449</xdr:rowOff>
    </xdr:from>
    <xdr:to>
      <xdr:col>9</xdr:col>
      <xdr:colOff>590551</xdr:colOff>
      <xdr:row>15</xdr:row>
      <xdr:rowOff>28575</xdr:rowOff>
    </xdr:to>
    <xdr:sp macro="" textlink="">
      <xdr:nvSpPr>
        <xdr:cNvPr id="6" name="Rectangle: Rounded Corners 5">
          <a:extLst>
            <a:ext uri="{FF2B5EF4-FFF2-40B4-BE49-F238E27FC236}">
              <a16:creationId xmlns:a16="http://schemas.microsoft.com/office/drawing/2014/main" id="{24677532-BFED-4A47-B472-153A02BBEDAA}"/>
            </a:ext>
          </a:extLst>
        </xdr:cNvPr>
        <xdr:cNvSpPr/>
      </xdr:nvSpPr>
      <xdr:spPr>
        <a:xfrm>
          <a:off x="2914651" y="1314449"/>
          <a:ext cx="3162300" cy="1571626"/>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561976</xdr:colOff>
      <xdr:row>15</xdr:row>
      <xdr:rowOff>161924</xdr:rowOff>
    </xdr:from>
    <xdr:to>
      <xdr:col>10</xdr:col>
      <xdr:colOff>66676</xdr:colOff>
      <xdr:row>24</xdr:row>
      <xdr:rowOff>19050</xdr:rowOff>
    </xdr:to>
    <xdr:sp macro="" textlink="">
      <xdr:nvSpPr>
        <xdr:cNvPr id="9" name="Rectangle: Rounded Corners 8">
          <a:extLst>
            <a:ext uri="{FF2B5EF4-FFF2-40B4-BE49-F238E27FC236}">
              <a16:creationId xmlns:a16="http://schemas.microsoft.com/office/drawing/2014/main" id="{EDE864AB-4E4F-418A-9317-FED919C04020}"/>
            </a:ext>
          </a:extLst>
        </xdr:cNvPr>
        <xdr:cNvSpPr/>
      </xdr:nvSpPr>
      <xdr:spPr>
        <a:xfrm>
          <a:off x="3000376" y="3019424"/>
          <a:ext cx="3162300" cy="1571626"/>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266701</xdr:colOff>
      <xdr:row>17</xdr:row>
      <xdr:rowOff>47625</xdr:rowOff>
    </xdr:from>
    <xdr:to>
      <xdr:col>15</xdr:col>
      <xdr:colOff>600075</xdr:colOff>
      <xdr:row>26</xdr:row>
      <xdr:rowOff>47624</xdr:rowOff>
    </xdr:to>
    <xdr:sp macro="" textlink="">
      <xdr:nvSpPr>
        <xdr:cNvPr id="10" name="Rectangle: Rounded Corners 9">
          <a:extLst>
            <a:ext uri="{FF2B5EF4-FFF2-40B4-BE49-F238E27FC236}">
              <a16:creationId xmlns:a16="http://schemas.microsoft.com/office/drawing/2014/main" id="{6E507BB5-77BF-43CF-8758-4DE0DF32B633}"/>
            </a:ext>
          </a:extLst>
        </xdr:cNvPr>
        <xdr:cNvSpPr/>
      </xdr:nvSpPr>
      <xdr:spPr>
        <a:xfrm>
          <a:off x="6362701" y="3286125"/>
          <a:ext cx="3381374" cy="1714499"/>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419101</xdr:colOff>
      <xdr:row>26</xdr:row>
      <xdr:rowOff>85723</xdr:rowOff>
    </xdr:from>
    <xdr:to>
      <xdr:col>15</xdr:col>
      <xdr:colOff>371475</xdr:colOff>
      <xdr:row>36</xdr:row>
      <xdr:rowOff>66674</xdr:rowOff>
    </xdr:to>
    <xdr:sp macro="" textlink="">
      <xdr:nvSpPr>
        <xdr:cNvPr id="12" name="Rectangle: Rounded Corners 11">
          <a:extLst>
            <a:ext uri="{FF2B5EF4-FFF2-40B4-BE49-F238E27FC236}">
              <a16:creationId xmlns:a16="http://schemas.microsoft.com/office/drawing/2014/main" id="{323B8CD8-18E0-BC61-8EDE-DBA5E16D4516}"/>
            </a:ext>
          </a:extLst>
        </xdr:cNvPr>
        <xdr:cNvSpPr/>
      </xdr:nvSpPr>
      <xdr:spPr>
        <a:xfrm>
          <a:off x="2857501" y="5038723"/>
          <a:ext cx="6657974" cy="1885951"/>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209550</xdr:colOff>
      <xdr:row>2</xdr:row>
      <xdr:rowOff>19050</xdr:rowOff>
    </xdr:from>
    <xdr:ext cx="1095375" cy="264560"/>
    <xdr:sp macro="" textlink="">
      <xdr:nvSpPr>
        <xdr:cNvPr id="14" name="TextBox 13">
          <a:extLst>
            <a:ext uri="{FF2B5EF4-FFF2-40B4-BE49-F238E27FC236}">
              <a16:creationId xmlns:a16="http://schemas.microsoft.com/office/drawing/2014/main" id="{02764073-4D7B-BF8C-5DAC-2F57D574EA2D}"/>
            </a:ext>
          </a:extLst>
        </xdr:cNvPr>
        <xdr:cNvSpPr txBox="1"/>
      </xdr:nvSpPr>
      <xdr:spPr>
        <a:xfrm>
          <a:off x="3257550" y="400050"/>
          <a:ext cx="1095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Total Employee</a:t>
          </a:r>
        </a:p>
      </xdr:txBody>
    </xdr:sp>
    <xdr:clientData/>
  </xdr:oneCellAnchor>
  <xdr:oneCellAnchor>
    <xdr:from>
      <xdr:col>5</xdr:col>
      <xdr:colOff>238125</xdr:colOff>
      <xdr:row>3</xdr:row>
      <xdr:rowOff>77903</xdr:rowOff>
    </xdr:from>
    <xdr:ext cx="1000125" cy="280205"/>
    <xdr:sp macro="" textlink="Privot!B5">
      <xdr:nvSpPr>
        <xdr:cNvPr id="15" name="TextBox 14">
          <a:extLst>
            <a:ext uri="{FF2B5EF4-FFF2-40B4-BE49-F238E27FC236}">
              <a16:creationId xmlns:a16="http://schemas.microsoft.com/office/drawing/2014/main" id="{B906B19E-80D1-40C7-95C3-2B03432642F7}"/>
            </a:ext>
          </a:extLst>
        </xdr:cNvPr>
        <xdr:cNvSpPr txBox="1"/>
      </xdr:nvSpPr>
      <xdr:spPr>
        <a:xfrm>
          <a:off x="3286125" y="649403"/>
          <a:ext cx="10001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55D19C4-92CB-4FB4-A1B3-5FEF49494A22}" type="TxLink">
            <a:rPr lang="en-US" sz="1200" b="0" i="0" u="none" strike="noStrike">
              <a:solidFill>
                <a:srgbClr val="000000"/>
              </a:solidFill>
              <a:latin typeface="Calibri"/>
              <a:ea typeface="Calibri"/>
              <a:cs typeface="Calibri"/>
            </a:rPr>
            <a:pPr algn="ctr"/>
            <a:t>409</a:t>
          </a:fld>
          <a:endParaRPr lang="en-US" sz="1200"/>
        </a:p>
      </xdr:txBody>
    </xdr:sp>
    <xdr:clientData/>
  </xdr:oneCellAnchor>
  <xdr:twoCellAnchor>
    <xdr:from>
      <xdr:col>10</xdr:col>
      <xdr:colOff>85725</xdr:colOff>
      <xdr:row>6</xdr:row>
      <xdr:rowOff>47625</xdr:rowOff>
    </xdr:from>
    <xdr:to>
      <xdr:col>16</xdr:col>
      <xdr:colOff>228600</xdr:colOff>
      <xdr:row>16</xdr:row>
      <xdr:rowOff>104775</xdr:rowOff>
    </xdr:to>
    <xdr:grpSp>
      <xdr:nvGrpSpPr>
        <xdr:cNvPr id="18" name="Group 17">
          <a:extLst>
            <a:ext uri="{FF2B5EF4-FFF2-40B4-BE49-F238E27FC236}">
              <a16:creationId xmlns:a16="http://schemas.microsoft.com/office/drawing/2014/main" id="{2029E3E0-C955-0387-52A8-AE51B96F290A}"/>
            </a:ext>
          </a:extLst>
        </xdr:cNvPr>
        <xdr:cNvGrpSpPr/>
      </xdr:nvGrpSpPr>
      <xdr:grpSpPr>
        <a:xfrm>
          <a:off x="6181725" y="1190625"/>
          <a:ext cx="3800475" cy="1962150"/>
          <a:chOff x="6372225" y="1266825"/>
          <a:chExt cx="4229099" cy="2066926"/>
        </a:xfrm>
      </xdr:grpSpPr>
      <xdr:sp macro="" textlink="">
        <xdr:nvSpPr>
          <xdr:cNvPr id="7" name="Rectangle: Rounded Corners 6">
            <a:extLst>
              <a:ext uri="{FF2B5EF4-FFF2-40B4-BE49-F238E27FC236}">
                <a16:creationId xmlns:a16="http://schemas.microsoft.com/office/drawing/2014/main" id="{6D7193A2-ED26-4C3C-A2F9-39D40A633E77}"/>
              </a:ext>
            </a:extLst>
          </xdr:cNvPr>
          <xdr:cNvSpPr/>
        </xdr:nvSpPr>
        <xdr:spPr>
          <a:xfrm>
            <a:off x="6372225" y="1295401"/>
            <a:ext cx="4229099" cy="2038350"/>
          </a:xfrm>
          <a:prstGeom prst="roundRect">
            <a:avLst/>
          </a:prstGeom>
          <a:solidFill>
            <a:schemeClr val="bg1">
              <a:lumMod val="8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B4CC4D1C-A18C-45C1-9127-81AD2689FBB1}"/>
              </a:ext>
            </a:extLst>
          </xdr:cNvPr>
          <xdr:cNvGraphicFramePr>
            <a:graphicFrameLocks noChangeAspect="1"/>
          </xdr:cNvGraphicFramePr>
        </xdr:nvGraphicFramePr>
        <xdr:xfrm>
          <a:off x="6496051" y="1266825"/>
          <a:ext cx="3919605" cy="192245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85725</xdr:colOff>
      <xdr:row>17</xdr:row>
      <xdr:rowOff>161925</xdr:rowOff>
    </xdr:from>
    <xdr:to>
      <xdr:col>15</xdr:col>
      <xdr:colOff>28575</xdr:colOff>
      <xdr:row>25</xdr:row>
      <xdr:rowOff>123825</xdr:rowOff>
    </xdr:to>
    <xdr:graphicFrame macro="">
      <xdr:nvGraphicFramePr>
        <xdr:cNvPr id="17" name="Chart 16">
          <a:extLst>
            <a:ext uri="{FF2B5EF4-FFF2-40B4-BE49-F238E27FC236}">
              <a16:creationId xmlns:a16="http://schemas.microsoft.com/office/drawing/2014/main" id="{91FE58D1-1083-4E23-8EB6-B25B865DD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600075</xdr:colOff>
      <xdr:row>23</xdr:row>
      <xdr:rowOff>0</xdr:rowOff>
    </xdr:from>
    <xdr:to>
      <xdr:col>4</xdr:col>
      <xdr:colOff>180975</xdr:colOff>
      <xdr:row>30</xdr:row>
      <xdr:rowOff>161925</xdr:rowOff>
    </xdr:to>
    <mc:AlternateContent xmlns:mc="http://schemas.openxmlformats.org/markup-compatibility/2006">
      <mc:Choice xmlns:a14="http://schemas.microsoft.com/office/drawing/2010/main" Requires="a14">
        <xdr:graphicFrame macro="">
          <xdr:nvGraphicFramePr>
            <xdr:cNvPr id="19" name="Department 1">
              <a:extLst>
                <a:ext uri="{FF2B5EF4-FFF2-40B4-BE49-F238E27FC236}">
                  <a16:creationId xmlns:a16="http://schemas.microsoft.com/office/drawing/2014/main" id="{E93EF4F4-5571-4210-9901-8CC8E2F007A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00075" y="4381500"/>
              <a:ext cx="20193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14</xdr:row>
      <xdr:rowOff>104775</xdr:rowOff>
    </xdr:from>
    <xdr:to>
      <xdr:col>4</xdr:col>
      <xdr:colOff>152400</xdr:colOff>
      <xdr:row>20</xdr:row>
      <xdr:rowOff>47625</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C306332F-428A-4462-9F22-83F2E6C454F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62000" y="2771775"/>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FIT" refreshedDate="46090.941211574071" createdVersion="8" refreshedVersion="8" minRefreshableVersion="3" recordCount="409" xr:uid="{A980CDD8-D3FF-4586-9455-9C4429A6F4F4}">
  <cacheSource type="worksheet">
    <worksheetSource name="Table1"/>
  </cacheSource>
  <cacheFields count="19">
    <cacheField name="SL" numFmtId="0">
      <sharedItems containsSemiMixedTypes="0" containsString="0" containsNumber="1" containsInteger="1" minValue="1" maxValue="409"/>
    </cacheField>
    <cacheField name="ID" numFmtId="0">
      <sharedItems count="409">
        <s v="ACX1"/>
        <s v="ACX2"/>
        <s v="ACX3"/>
        <s v="ACX4"/>
        <s v="ACX5"/>
        <s v="ACX6"/>
        <s v="ACX7"/>
        <s v="ACX8"/>
        <s v="ACX9"/>
        <s v="ACX10"/>
        <s v="ACX11"/>
        <s v="ACX12"/>
        <s v="ACX13"/>
        <s v="ACX14"/>
        <s v="ACX15"/>
        <s v="ACX16"/>
        <s v="ACX17"/>
        <s v="ACX18"/>
        <s v="ACX19"/>
        <s v="ACX20"/>
        <s v="ACX21"/>
        <s v="ACX22"/>
        <s v="ACX23"/>
        <s v="ACX24"/>
        <s v="ACX25"/>
        <s v="ACX26"/>
        <s v="ACX27"/>
        <s v="ACX28"/>
        <s v="ACX29"/>
        <s v="ACX30"/>
        <s v="ACX31"/>
        <s v="ACX32"/>
        <s v="ACX33"/>
        <s v="ACX34"/>
        <s v="ACX35"/>
        <s v="ACX36"/>
        <s v="ACX37"/>
        <s v="ACX38"/>
        <s v="ACX39"/>
        <s v="ACX40"/>
        <s v="ACX41"/>
        <s v="ACX42"/>
        <s v="ACX43"/>
        <s v="ACX44"/>
        <s v="ACX45"/>
        <s v="ACX46"/>
        <s v="ACX47"/>
        <s v="ACX48"/>
        <s v="ACX49"/>
        <s v="ACX50"/>
        <s v="ACX51"/>
        <s v="ACX52"/>
        <s v="ACX53"/>
        <s v="ACX54"/>
        <s v="ACX55"/>
        <s v="ACX56"/>
        <s v="ACX57"/>
        <s v="ACX58"/>
        <s v="ACX59"/>
        <s v="ACX60"/>
        <s v="ACX61"/>
        <s v="ACX62"/>
        <s v="ACX63"/>
        <s v="ACX64"/>
        <s v="ACX65"/>
        <s v="ACX66"/>
        <s v="ACX67"/>
        <s v="ACX68"/>
        <s v="ACX69"/>
        <s v="ACX70"/>
        <s v="ACX71"/>
        <s v="ACX72"/>
        <s v="ACX73"/>
        <s v="ACX74"/>
        <s v="ACX75"/>
        <s v="ACX76"/>
        <s v="ACX77"/>
        <s v="ACX78"/>
        <s v="ACX79"/>
        <s v="ACX80"/>
        <s v="ACX81"/>
        <s v="ACX82"/>
        <s v="ACX83"/>
        <s v="ACX84"/>
        <s v="ACX85"/>
        <s v="ACX86"/>
        <s v="ACX87"/>
        <s v="ACX88"/>
        <s v="ACX89"/>
        <s v="ACX90"/>
        <s v="ACX91"/>
        <s v="ACX92"/>
        <s v="ACX93"/>
        <s v="ACX94"/>
        <s v="ACX95"/>
        <s v="ACX96"/>
        <s v="ACX97"/>
        <s v="ACX98"/>
        <s v="ACX99"/>
        <s v="ACX100"/>
        <s v="ACX101"/>
        <s v="ACX102"/>
        <s v="ACX103"/>
        <s v="ACX104"/>
        <s v="ACX105"/>
        <s v="ACX106"/>
        <s v="ACX107"/>
        <s v="ACX108"/>
        <s v="ACX109"/>
        <s v="ACX110"/>
        <s v="ACX111"/>
        <s v="ACX112"/>
        <s v="ACX113"/>
        <s v="ACX114"/>
        <s v="ACX115"/>
        <s v="ACX116"/>
        <s v="ACX117"/>
        <s v="ACX118"/>
        <s v="ACX119"/>
        <s v="ACX120"/>
        <s v="ACX121"/>
        <s v="ACX122"/>
        <s v="ACX123"/>
        <s v="ACX124"/>
        <s v="ACX125"/>
        <s v="ACX126"/>
        <s v="ACX127"/>
        <s v="ACX128"/>
        <s v="ACX129"/>
        <s v="ACX130"/>
        <s v="ACX131"/>
        <s v="ACX132"/>
        <s v="ACX133"/>
        <s v="ACX134"/>
        <s v="ACX135"/>
        <s v="ACX136"/>
        <s v="ACX137"/>
        <s v="ACX138"/>
        <s v="ACX139"/>
        <s v="ACX140"/>
        <s v="ACX141"/>
        <s v="ACX142"/>
        <s v="ACX143"/>
        <s v="ACX144"/>
        <s v="ACX145"/>
        <s v="ACX146"/>
        <s v="ACX147"/>
        <s v="ACX148"/>
        <s v="ACX149"/>
        <s v="ACX150"/>
        <s v="ACX151"/>
        <s v="ACX152"/>
        <s v="ACX153"/>
        <s v="ACX154"/>
        <s v="ACX155"/>
        <s v="ACX156"/>
        <s v="ACX157"/>
        <s v="ACX158"/>
        <s v="ACX159"/>
        <s v="ACX160"/>
        <s v="ACX161"/>
        <s v="ACX162"/>
        <s v="ACX163"/>
        <s v="ACX164"/>
        <s v="ACX165"/>
        <s v="ACX166"/>
        <s v="ACX167"/>
        <s v="ACX168"/>
        <s v="ACX169"/>
        <s v="ACX170"/>
        <s v="ACX171"/>
        <s v="ACX172"/>
        <s v="ACX173"/>
        <s v="ACX174"/>
        <s v="ACX175"/>
        <s v="ACX176"/>
        <s v="ACX177"/>
        <s v="ACX178"/>
        <s v="ACX179"/>
        <s v="ACX180"/>
        <s v="ACX181"/>
        <s v="ACX182"/>
        <s v="ACX183"/>
        <s v="ACX184"/>
        <s v="ACX185"/>
        <s v="ACX186"/>
        <s v="ACX187"/>
        <s v="ACX188"/>
        <s v="ACX189"/>
        <s v="ACX190"/>
        <s v="ACX191"/>
        <s v="ACX192"/>
        <s v="ACX193"/>
        <s v="ACX194"/>
        <s v="ACX195"/>
        <s v="ACX196"/>
        <s v="ACX197"/>
        <s v="ACX198"/>
        <s v="ACX199"/>
        <s v="ACX200"/>
        <s v="ACX201"/>
        <s v="ACX202"/>
        <s v="ACX203"/>
        <s v="ACX204"/>
        <s v="ACX205"/>
        <s v="ACX206"/>
        <s v="ACX207"/>
        <s v="ACX208"/>
        <s v="ACX209"/>
        <s v="ACX210"/>
        <s v="ACX211"/>
        <s v="ACX212"/>
        <s v="ACX213"/>
        <s v="ACX214"/>
        <s v="ACX215"/>
        <s v="ACX216"/>
        <s v="ACX217"/>
        <s v="ACX218"/>
        <s v="ACX219"/>
        <s v="ACX220"/>
        <s v="ACX221"/>
        <s v="ACX222"/>
        <s v="ACX223"/>
        <s v="ACX224"/>
        <s v="ACX225"/>
        <s v="ACX226"/>
        <s v="ACX227"/>
        <s v="ACX228"/>
        <s v="ACX229"/>
        <s v="ACX230"/>
        <s v="ACX231"/>
        <s v="ACX232"/>
        <s v="ACX233"/>
        <s v="ACX234"/>
        <s v="ACX235"/>
        <s v="ACX236"/>
        <s v="ACX237"/>
        <s v="ACX238"/>
        <s v="ACX239"/>
        <s v="ACX240"/>
        <s v="ACX241"/>
        <s v="ACX242"/>
        <s v="ACX243"/>
        <s v="ACX244"/>
        <s v="ACX245"/>
        <s v="ACX246"/>
        <s v="ACX247"/>
        <s v="ACX248"/>
        <s v="ACX249"/>
        <s v="ACX250"/>
        <s v="ACX251"/>
        <s v="ACX252"/>
        <s v="ACX253"/>
        <s v="ACX254"/>
        <s v="ACX255"/>
        <s v="ACX256"/>
        <s v="ACX257"/>
        <s v="ACX258"/>
        <s v="ACX259"/>
        <s v="ACX260"/>
        <s v="ACX261"/>
        <s v="ACX262"/>
        <s v="ACX263"/>
        <s v="ACX264"/>
        <s v="ACX265"/>
        <s v="ACX266"/>
        <s v="ACX267"/>
        <s v="ACX268"/>
        <s v="ACX269"/>
        <s v="ACX270"/>
        <s v="ACX271"/>
        <s v="ACX272"/>
        <s v="ACX273"/>
        <s v="ACX274"/>
        <s v="ACX275"/>
        <s v="ACX276"/>
        <s v="ACX277"/>
        <s v="ACX278"/>
        <s v="ACX279"/>
        <s v="ACX280"/>
        <s v="ACX281"/>
        <s v="ACX282"/>
        <s v="ACX283"/>
        <s v="ACX284"/>
        <s v="ACX285"/>
        <s v="ACX286"/>
        <s v="ACX287"/>
        <s v="ACX288"/>
        <s v="ACX289"/>
        <s v="ACX290"/>
        <s v="ACX291"/>
        <s v="ACX292"/>
        <s v="ACX293"/>
        <s v="ACX294"/>
        <s v="ACX295"/>
        <s v="ACX296"/>
        <s v="ACX297"/>
        <s v="ACX298"/>
        <s v="ACX299"/>
        <s v="ACX300"/>
        <s v="ACX301"/>
        <s v="ACX302"/>
        <s v="ACX303"/>
        <s v="ACX304"/>
        <s v="ACX305"/>
        <s v="ACX306"/>
        <s v="ACX307"/>
        <s v="ACX308"/>
        <s v="ACX309"/>
        <s v="ACX310"/>
        <s v="ACX311"/>
        <s v="ACX312"/>
        <s v="ACX313"/>
        <s v="ACX314"/>
        <s v="ACX315"/>
        <s v="ACX316"/>
        <s v="ACX317"/>
        <s v="ACX318"/>
        <s v="ACX319"/>
        <s v="ACX320"/>
        <s v="ACX321"/>
        <s v="ACX322"/>
        <s v="ACX323"/>
        <s v="ACX324"/>
        <s v="ACX325"/>
        <s v="ACX326"/>
        <s v="ACX327"/>
        <s v="ACX328"/>
        <s v="ACX329"/>
        <s v="ACX330"/>
        <s v="ACX331"/>
        <s v="ACX332"/>
        <s v="ACX333"/>
        <s v="ACX334"/>
        <s v="ACX335"/>
        <s v="ACX336"/>
        <s v="ACX337"/>
        <s v="ACX338"/>
        <s v="ACX339"/>
        <s v="ACX340"/>
        <s v="ACX341"/>
        <s v="ACX342"/>
        <s v="ACX343"/>
        <s v="ACX344"/>
        <s v="ACX345"/>
        <s v="ACX346"/>
        <s v="ACX347"/>
        <s v="ACX348"/>
        <s v="ACX349"/>
        <s v="ACX350"/>
        <s v="ACX351"/>
        <s v="ACX352"/>
        <s v="ACX353"/>
        <s v="ACX354"/>
        <s v="ACX355"/>
        <s v="ACX356"/>
        <s v="ACX357"/>
        <s v="ACX358"/>
        <s v="ACX359"/>
        <s v="ACX360"/>
        <s v="ACX361"/>
        <s v="ACX362"/>
        <s v="ACX363"/>
        <s v="ACX364"/>
        <s v="ACX365"/>
        <s v="ACX366"/>
        <s v="ACX367"/>
        <s v="ACX368"/>
        <s v="ACX369"/>
        <s v="ACX370"/>
        <s v="ACX371"/>
        <s v="ACX372"/>
        <s v="ACX373"/>
        <s v="ACX374"/>
        <s v="ACX375"/>
        <s v="ACX376"/>
        <s v="ACX377"/>
        <s v="ACX378"/>
        <s v="ACX379"/>
        <s v="ACX380"/>
        <s v="ACX381"/>
        <s v="ACX382"/>
        <s v="ACX383"/>
        <s v="ACX384"/>
        <s v="ACX385"/>
        <s v="ACX386"/>
        <s v="ACX387"/>
        <s v="ACX388"/>
        <s v="ACX389"/>
        <s v="ACX390"/>
        <s v="ACX391"/>
        <s v="ACX392"/>
        <s v="ACX393"/>
        <s v="ACX394"/>
        <s v="ACX395"/>
        <s v="ACX396"/>
        <s v="ACX397"/>
        <s v="ACX398"/>
        <s v="ACX399"/>
        <s v="ACX400"/>
        <s v="ACX401"/>
        <s v="ACX402"/>
        <s v="ACX403"/>
        <s v="ACX404"/>
        <s v="ACX405"/>
        <s v="ACX406"/>
        <s v="ACX407"/>
        <s v="ACX408"/>
        <s v="ACX409"/>
      </sharedItems>
    </cacheField>
    <cacheField name="Name" numFmtId="0">
      <sharedItems/>
    </cacheField>
    <cacheField name="Department" numFmtId="0">
      <sharedItems count="7">
        <s v="Packing Dept."/>
        <s v="Administration Dept."/>
        <s v="Production Dept."/>
        <s v="Quality Dept."/>
        <s v="Human Resource Dept."/>
        <s v="PMC &amp; Warehouse Dept."/>
        <s v="Product Engineering"/>
      </sharedItems>
    </cacheField>
    <cacheField name="Designation" numFmtId="0">
      <sharedItems/>
    </cacheField>
    <cacheField name="Employee Category" numFmtId="0">
      <sharedItems count="3">
        <s v="Management "/>
        <s v="Indiract "/>
        <s v="Diract "/>
      </sharedItems>
    </cacheField>
    <cacheField name="Employee Type" numFmtId="0">
      <sharedItems/>
    </cacheField>
    <cacheField name="Date of confirmation" numFmtId="165">
      <sharedItems containsSemiMixedTypes="0" containsNonDate="0" containsDate="1" containsString="0" minDate="2023-09-02T00:00:00" maxDate="2024-10-30T00:00:00"/>
    </cacheField>
    <cacheField name="Date of Join" numFmtId="165">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8"/>
    </cacheField>
    <cacheField name="Gender" numFmtId="0">
      <sharedItems/>
    </cacheField>
    <cacheField name="Marital Status" numFmtId="0">
      <sharedItems/>
    </cacheField>
    <cacheField name="Blood Group" numFmtId="0">
      <sharedItems/>
    </cacheField>
    <cacheField name="Present Address" numFmtId="0">
      <sharedItems/>
    </cacheField>
    <cacheField name="Distance" numFmtId="0">
      <sharedItems/>
    </cacheField>
    <cacheField name="Working status" numFmtId="0">
      <sharedItems/>
    </cacheField>
    <cacheField name="Baisc Salary" numFmtId="166">
      <sharedItems containsSemiMixedTypes="0" containsString="0" containsNumber="1" containsInteger="1" minValue="16" maxValue="2163263"/>
    </cacheField>
    <cacheField name="Months (Date of Join)" numFmtId="0" databaseField="0">
      <fieldGroup base="8">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8">
        <rangePr groupBy="quarters" startDate="2023-03-06T00:00:00" endDate="2024-05-03T00:00:00"/>
        <groupItems count="6">
          <s v="&lt;3/6/2023"/>
          <s v="Qtr1"/>
          <s v="Qtr2"/>
          <s v="Qtr3"/>
          <s v="Qtr4"/>
          <s v="&gt;5/3/2024"/>
        </groupItems>
      </fieldGroup>
    </cacheField>
    <cacheField name="Years (Date of Join)" numFmtId="0" databaseField="0">
      <fieldGroup base="8">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13691688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FIT" refreshedDate="46090.949355787037" createdVersion="7" refreshedVersion="8" minRefreshableVersion="3" recordCount="409" xr:uid="{3AA88B4B-301B-43FC-936F-E99678C35AE1}">
  <cacheSource type="worksheet">
    <worksheetSource name="Table1"/>
  </cacheSource>
  <cacheFields count="22">
    <cacheField name="SL" numFmtId="0">
      <sharedItems containsSemiMixedTypes="0" containsString="0" containsNumber="1" containsInteger="1" minValue="1" maxValue="409"/>
    </cacheField>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Product 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65">
      <sharedItems containsSemiMixedTypes="0" containsNonDate="0" containsDate="1" containsString="0" minDate="2023-09-02T00:00:00" maxDate="2024-10-30T00:00:00" count="65">
        <d v="2023-09-02T00:00:00"/>
        <d v="2023-11-02T00:00:00"/>
        <d v="2023-11-16T00:00:00"/>
        <d v="2023-11-28T00:00:00"/>
        <d v="2023-12-09T00:00:00"/>
        <d v="2023-12-12T00:00:00"/>
        <d v="2023-12-17T00:00:00"/>
        <d v="2023-12-18T00:00:00"/>
        <d v="2023-12-28T00:00:00"/>
        <d v="2024-01-06T00:00:00"/>
        <d v="2024-01-07T00:00:00"/>
        <d v="2024-02-01T00:00:00"/>
        <d v="2024-03-05T00:00:00"/>
        <d v="2024-05-18T00:00:00"/>
        <d v="2024-05-30T00:00:00"/>
        <d v="2024-06-06T00:00:00"/>
        <d v="2024-06-07T00:00:00"/>
        <d v="2024-06-08T00:00:00"/>
        <d v="2024-06-09T00:00:00"/>
        <d v="2024-06-10T00:00:00"/>
        <d v="2024-06-11T00:00:00"/>
        <d v="2024-06-14T00:00:00"/>
        <d v="2024-06-15T00:00:00"/>
        <d v="2024-06-16T00:00:00"/>
        <d v="2024-06-17T00:00:00"/>
        <d v="2024-06-18T00:00:00"/>
        <d v="2024-06-20T00:00:00"/>
        <d v="2024-06-21T00:00:00"/>
        <d v="2024-06-23T00:00:00"/>
        <d v="2024-06-24T00:00:00"/>
        <d v="2024-06-27T00:00:00"/>
        <d v="2024-06-29T00:00:00"/>
        <d v="2024-06-30T00:00:00"/>
        <d v="2024-07-01T00:00:00"/>
        <d v="2024-07-04T00:00:00"/>
        <d v="2024-07-02T00:00:00"/>
        <d v="2024-07-07T00:00:00"/>
        <d v="2024-07-08T00:00:00"/>
        <d v="2024-07-09T00:00:00"/>
        <d v="2024-07-10T00:00:00"/>
        <d v="2024-07-11T00:00:00"/>
        <d v="2024-07-12T00:00:00"/>
        <d v="2024-07-14T00:00:00"/>
        <d v="2024-07-15T00:00:00"/>
        <d v="2024-07-18T00:00:00"/>
        <d v="2024-07-19T00:00:00"/>
        <d v="2024-07-21T00:00:00"/>
        <d v="2024-07-23T00:00:00"/>
        <d v="2024-07-26T00:00:00"/>
        <d v="2024-07-30T00:00:00"/>
        <d v="2024-08-01T00:00:00"/>
        <d v="2024-08-02T00:00:00"/>
        <d v="2024-08-03T00:00:00"/>
        <d v="2024-08-04T00:00:00"/>
        <d v="2024-08-05T00:00:00"/>
        <d v="2024-08-06T00:00:00"/>
        <d v="2024-08-08T00:00:00"/>
        <d v="2024-08-09T00:00:00"/>
        <d v="2024-08-10T00:00:00"/>
        <d v="2024-08-11T00:00:00"/>
        <d v="2024-08-13T00:00:00"/>
        <d v="2024-08-15T00:00:00"/>
        <d v="2024-08-31T00:00:00"/>
        <d v="2024-10-14T00:00:00"/>
        <d v="2024-10-29T00:00:00"/>
      </sharedItems>
      <fieldGroup par="21"/>
    </cacheField>
    <cacheField name="Date of Join" numFmtId="165">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8"/>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Baisc Salary" numFmtId="166">
      <sharedItems containsSemiMixedTypes="0" containsString="0" containsNumber="1" containsInteger="1" minValue="16" maxValue="2163263"/>
    </cacheField>
    <cacheField name="Months (Date of Join)" numFmtId="0" databaseField="0">
      <fieldGroup base="8">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8">
        <rangePr groupBy="quarters" startDate="2023-03-06T00:00:00" endDate="2024-05-03T00:00:00"/>
        <groupItems count="6">
          <s v="&lt;3/6/2023"/>
          <s v="Qtr1"/>
          <s v="Qtr2"/>
          <s v="Qtr3"/>
          <s v="Qtr4"/>
          <s v="&gt;5/3/2024"/>
        </groupItems>
      </fieldGroup>
    </cacheField>
    <cacheField name="Years (Date of Join)" numFmtId="0" databaseField="0">
      <fieldGroup base="8">
        <rangePr groupBy="years" startDate="2023-03-06T00:00:00" endDate="2024-05-03T00:00:00"/>
        <groupItems count="4">
          <s v="&lt;3/6/2023"/>
          <s v="2023"/>
          <s v="2024"/>
          <s v="&gt;5/3/2024"/>
        </groupItems>
      </fieldGroup>
    </cacheField>
    <cacheField name="Months (Date of confirmation)" numFmtId="0" databaseField="0">
      <fieldGroup base="7">
        <rangePr groupBy="months" startDate="2023-09-02T00:00:00" endDate="2024-10-30T00:00:00"/>
        <groupItems count="14">
          <s v="&lt;9/2/2023"/>
          <s v="Jan"/>
          <s v="Feb"/>
          <s v="Mar"/>
          <s v="Apr"/>
          <s v="May"/>
          <s v="Jun"/>
          <s v="Jul"/>
          <s v="Aug"/>
          <s v="Sep"/>
          <s v="Oct"/>
          <s v="Nov"/>
          <s v="Dec"/>
          <s v="&gt;10/30/2024"/>
        </groupItems>
      </fieldGroup>
    </cacheField>
    <cacheField name="Quarters (Date of confirmation)" numFmtId="0" databaseField="0">
      <fieldGroup base="7">
        <rangePr groupBy="quarters" startDate="2023-09-02T00:00:00" endDate="2024-10-30T00:00:00"/>
        <groupItems count="6">
          <s v="&lt;9/2/2023"/>
          <s v="Qtr1"/>
          <s v="Qtr2"/>
          <s v="Qtr3"/>
          <s v="Qtr4"/>
          <s v="&gt;10/30/2024"/>
        </groupItems>
      </fieldGroup>
    </cacheField>
    <cacheField name="Years (Date of confirmation)" numFmtId="0" databaseField="0">
      <fieldGroup base="7">
        <rangePr groupBy="years" startDate="2023-09-02T00:00:00" endDate="2024-10-30T00:00:00"/>
        <groupItems count="4">
          <s v="&lt;9/2/2023"/>
          <s v="2023"/>
          <s v="2024"/>
          <s v="&gt;10/30/2024"/>
        </groupItems>
      </fieldGroup>
    </cacheField>
  </cacheFields>
  <extLst>
    <ext xmlns:x14="http://schemas.microsoft.com/office/spreadsheetml/2009/9/main" uri="{725AE2AE-9491-48be-B2B4-4EB974FC3084}">
      <x14:pivotCacheDefinition pivotCacheId="764761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n v="1"/>
    <x v="0"/>
    <s v="Shanta Priya"/>
    <x v="0"/>
    <s v="Line Operator"/>
    <x v="0"/>
    <s v="Permanent"/>
    <d v="2023-09-02T00:00:00"/>
    <x v="0"/>
    <s v="Male"/>
    <s v="Single"/>
    <s v="B+"/>
    <s v="Gazipura 27"/>
    <s v="1km -3km"/>
    <s v="Active"/>
    <n v="10000"/>
  </r>
  <r>
    <n v="2"/>
    <x v="1"/>
    <s v="Md. Abdul Kader"/>
    <x v="1"/>
    <s v="Line Operator"/>
    <x v="1"/>
    <s v="Probation"/>
    <d v="2023-11-02T00:00:00"/>
    <x v="1"/>
    <s v="Male"/>
    <s v="Single"/>
    <s v="A+"/>
    <s v="Gazipura 27"/>
    <s v="1km -3km"/>
    <s v="Resigned"/>
    <n v="2500"/>
  </r>
  <r>
    <n v="3"/>
    <x v="2"/>
    <s v="Md. Sagor Hossain"/>
    <x v="2"/>
    <s v="Line Operator"/>
    <x v="0"/>
    <s v="Permanent"/>
    <d v="2023-11-16T00:00:00"/>
    <x v="2"/>
    <s v="Male"/>
    <s v="Married"/>
    <s v="O+"/>
    <s v="Uttara"/>
    <s v="5-10km"/>
    <s v="Fire"/>
    <n v="500"/>
  </r>
  <r>
    <n v="4"/>
    <x v="3"/>
    <s v="Masud Islam Fahim"/>
    <x v="3"/>
    <s v="Loader"/>
    <x v="1"/>
    <s v="Permanent"/>
    <d v="2023-11-28T00:00:00"/>
    <x v="3"/>
    <s v="Male"/>
    <s v="Married"/>
    <s v="A+"/>
    <s v="Bonmala Road"/>
    <s v="3km-5km"/>
    <s v="Active"/>
    <n v="10000"/>
  </r>
  <r>
    <n v="5"/>
    <x v="4"/>
    <s v="Md. Manik Mia"/>
    <x v="2"/>
    <s v="Line Operator"/>
    <x v="1"/>
    <s v="Probation"/>
    <d v="2023-12-09T00:00:00"/>
    <x v="4"/>
    <s v="Male"/>
    <s v="Single"/>
    <s v="O+"/>
    <s v="Khilkhet"/>
    <s v="10-15km"/>
    <s v="Active"/>
    <n v="10000"/>
  </r>
  <r>
    <n v="6"/>
    <x v="5"/>
    <s v="Md. Shajibur Rahaman"/>
    <x v="3"/>
    <s v="Line Operator"/>
    <x v="1"/>
    <s v="Permanent"/>
    <d v="2023-12-09T00:00:00"/>
    <x v="4"/>
    <s v="Male"/>
    <s v="Single"/>
    <s v="B+"/>
    <s v="Gazipura 27"/>
    <s v="1km -3km"/>
    <s v="Active"/>
    <n v="10000"/>
  </r>
  <r>
    <n v="7"/>
    <x v="6"/>
    <s v="Limon"/>
    <x v="2"/>
    <s v="Line Operator"/>
    <x v="1"/>
    <s v="Permanent"/>
    <d v="2023-12-12T00:00:00"/>
    <x v="5"/>
    <s v="Male"/>
    <s v="Married"/>
    <s v="O+"/>
    <s v="Gazipura 27"/>
    <s v="1km -3km"/>
    <s v="Active"/>
    <n v="10000"/>
  </r>
  <r>
    <n v="8"/>
    <x v="7"/>
    <s v="Arman Hossen"/>
    <x v="3"/>
    <s v="Line Operator"/>
    <x v="0"/>
    <s v="Permanent"/>
    <d v="2023-12-17T00:00:00"/>
    <x v="6"/>
    <s v="Male"/>
    <s v="Single"/>
    <s v="AB+"/>
    <s v="Gazipura 27"/>
    <s v="1km -3km"/>
    <s v="Active"/>
    <n v="523"/>
  </r>
  <r>
    <n v="9"/>
    <x v="8"/>
    <s v="Md. Raju Mia"/>
    <x v="3"/>
    <s v="Line Operator"/>
    <x v="1"/>
    <s v="Permanent"/>
    <d v="2023-12-17T00:00:00"/>
    <x v="6"/>
    <s v="Male"/>
    <s v="Single"/>
    <s v="A+"/>
    <s v="Gazipura 27"/>
    <s v="1km -3km"/>
    <s v="Active"/>
    <n v="10000"/>
  </r>
  <r>
    <n v="10"/>
    <x v="9"/>
    <s v="Md. Ammar Hossain"/>
    <x v="2"/>
    <s v="Line Operator"/>
    <x v="1"/>
    <s v="Permanent"/>
    <d v="2023-12-18T00:00:00"/>
    <x v="7"/>
    <s v="Male"/>
    <s v="Married"/>
    <s v="O+"/>
    <s v="Gazipura 27"/>
    <s v="1km -3km"/>
    <s v="Active"/>
    <n v="216363"/>
  </r>
  <r>
    <n v="11"/>
    <x v="10"/>
    <s v="Nadim Al Kamal Murad"/>
    <x v="2"/>
    <s v="Line Operator"/>
    <x v="0"/>
    <s v="Permanent"/>
    <d v="2023-12-28T00:00:00"/>
    <x v="8"/>
    <s v="Male"/>
    <s v="Married"/>
    <s v="O+"/>
    <s v="Bonmala Road"/>
    <s v="3km-5km"/>
    <s v="Active"/>
    <n v="10000"/>
  </r>
  <r>
    <n v="12"/>
    <x v="11"/>
    <s v="Manik Sharker"/>
    <x v="2"/>
    <s v="Line Operator"/>
    <x v="1"/>
    <s v="Permanent"/>
    <d v="2024-01-06T00:00:00"/>
    <x v="9"/>
    <s v="Male"/>
    <s v="Married"/>
    <s v="AB+"/>
    <s v="Gazipura 27"/>
    <s v="1km -3km"/>
    <s v="Active"/>
    <n v="10000"/>
  </r>
  <r>
    <n v="13"/>
    <x v="12"/>
    <s v="Samiul Hoque"/>
    <x v="3"/>
    <s v="Line Operator"/>
    <x v="1"/>
    <s v="Permanent"/>
    <d v="2024-01-06T00:00:00"/>
    <x v="9"/>
    <s v="Male"/>
    <s v="Married"/>
    <s v="B+"/>
    <s v="Gazipur Chowrasta"/>
    <s v="5-10km"/>
    <s v="Active"/>
    <n v="525"/>
  </r>
  <r>
    <n v="14"/>
    <x v="13"/>
    <s v="Rashid Mahmud"/>
    <x v="3"/>
    <s v="Line Operator"/>
    <x v="1"/>
    <s v="Probation"/>
    <d v="2024-01-06T00:00:00"/>
    <x v="9"/>
    <s v="Male"/>
    <s v="Married"/>
    <s v="O-"/>
    <s v="Gazipura 27"/>
    <s v="1km -3km"/>
    <s v="Active"/>
    <n v="10000"/>
  </r>
  <r>
    <n v="15"/>
    <x v="14"/>
    <s v="Md. Riad Hasan"/>
    <x v="2"/>
    <s v="Line Operator"/>
    <x v="2"/>
    <s v="Permanent"/>
    <d v="2024-01-06T00:00:00"/>
    <x v="9"/>
    <s v="Male"/>
    <s v="Single"/>
    <s v="B+"/>
    <s v="Gazipura 27"/>
    <s v="1km -3km"/>
    <s v="Active"/>
    <n v="15265"/>
  </r>
  <r>
    <n v="16"/>
    <x v="15"/>
    <s v="Md. Junied Mahtav Muin"/>
    <x v="0"/>
    <s v="Line Operator"/>
    <x v="1"/>
    <s v="Permanent"/>
    <d v="2024-01-06T00:00:00"/>
    <x v="9"/>
    <s v="Male"/>
    <s v="Married"/>
    <s v="O+"/>
    <s v="Gazipura 27"/>
    <s v="1km -3km"/>
    <s v="Active"/>
    <n v="10000"/>
  </r>
  <r>
    <n v="17"/>
    <x v="16"/>
    <s v="Mst. Muslima"/>
    <x v="4"/>
    <s v="Line Operator"/>
    <x v="2"/>
    <s v="Permanent"/>
    <d v="2024-01-06T00:00:00"/>
    <x v="9"/>
    <s v="Female"/>
    <s v="Married"/>
    <s v="O+"/>
    <s v="Gazipura 27"/>
    <s v="1km -3km"/>
    <s v="Active"/>
    <n v="56"/>
  </r>
  <r>
    <n v="18"/>
    <x v="17"/>
    <s v="Md. Jahid Hasan Joy"/>
    <x v="0"/>
    <s v="Line Operator"/>
    <x v="1"/>
    <s v="Permanent"/>
    <d v="2024-01-06T00:00:00"/>
    <x v="9"/>
    <s v="Male"/>
    <s v="Married"/>
    <s v="B+"/>
    <s v="Gazipura 27"/>
    <s v="1km -3km"/>
    <s v="Active"/>
    <n v="10000"/>
  </r>
  <r>
    <n v="19"/>
    <x v="18"/>
    <s v="Reduyan Ahmed Ajmir"/>
    <x v="1"/>
    <s v="Line Operator"/>
    <x v="1"/>
    <s v="Permanent"/>
    <d v="2024-01-06T00:00:00"/>
    <x v="9"/>
    <s v="Male"/>
    <s v="Single"/>
    <s v="AB+"/>
    <s v="Gazipura 27"/>
    <s v="1km -3km"/>
    <s v="Active"/>
    <n v="10000"/>
  </r>
  <r>
    <n v="20"/>
    <x v="19"/>
    <s v="Md. Sajib Hossain"/>
    <x v="2"/>
    <s v="Line Operator"/>
    <x v="2"/>
    <s v="Permanent"/>
    <d v="2024-01-06T00:00:00"/>
    <x v="9"/>
    <s v="Male"/>
    <s v="Single"/>
    <s v="O+"/>
    <s v="Gazipura 27"/>
    <s v="1km -3km"/>
    <s v="Active"/>
    <n v="1662"/>
  </r>
  <r>
    <n v="21"/>
    <x v="20"/>
    <s v="Rayhan Habib"/>
    <x v="3"/>
    <s v="Line Operator"/>
    <x v="2"/>
    <s v="Permanent"/>
    <d v="2024-01-06T00:00:00"/>
    <x v="9"/>
    <s v="Male"/>
    <s v="Single"/>
    <s v="O+"/>
    <s v="Gazipura 27"/>
    <s v="1km -3km"/>
    <s v="Active"/>
    <n v="10000"/>
  </r>
  <r>
    <n v="22"/>
    <x v="21"/>
    <s v="Md. Al Amin Hossain Shanto"/>
    <x v="2"/>
    <s v="Line Operator"/>
    <x v="2"/>
    <s v="Permanent"/>
    <d v="2024-01-07T00:00:00"/>
    <x v="10"/>
    <s v="Male"/>
    <s v="Single"/>
    <s v="O+"/>
    <s v="Gazipura 27"/>
    <s v="1km -3km"/>
    <s v="Active"/>
    <n v="10000"/>
  </r>
  <r>
    <n v="23"/>
    <x v="22"/>
    <s v="Nazmul Islam"/>
    <x v="3"/>
    <s v="Line Operator"/>
    <x v="1"/>
    <s v="Permanent"/>
    <d v="2024-02-01T00:00:00"/>
    <x v="11"/>
    <s v="Male"/>
    <s v="Married"/>
    <s v="O+"/>
    <s v="Gazipura 27"/>
    <s v="1km -3km"/>
    <s v="Active"/>
    <n v="6232"/>
  </r>
  <r>
    <n v="24"/>
    <x v="23"/>
    <s v="Pallab Bhowmick"/>
    <x v="3"/>
    <s v="Line Operator"/>
    <x v="1"/>
    <s v="Permanent"/>
    <d v="2024-02-01T00:00:00"/>
    <x v="11"/>
    <s v="Male"/>
    <s v="Married"/>
    <s v="A+"/>
    <s v="Board Bazar"/>
    <s v="3km-5km"/>
    <s v="Active"/>
    <n v="10000"/>
  </r>
  <r>
    <n v="25"/>
    <x v="24"/>
    <s v="Md.Aminur Rahman"/>
    <x v="3"/>
    <s v="Line Operator"/>
    <x v="1"/>
    <s v="Permanent"/>
    <d v="2024-03-05T00:00:00"/>
    <x v="12"/>
    <s v="Male"/>
    <s v="Married"/>
    <s v="B+"/>
    <s v="Gazipura 27"/>
    <s v="1km -3km"/>
    <s v="Active"/>
    <n v="10000"/>
  </r>
  <r>
    <n v="26"/>
    <x v="25"/>
    <s v="Md.Musfiqur Rahman"/>
    <x v="0"/>
    <s v="Line Operator"/>
    <x v="1"/>
    <s v="Probation"/>
    <d v="2024-05-18T00:00:00"/>
    <x v="13"/>
    <s v="Male"/>
    <s v="Married"/>
    <s v="O+"/>
    <s v="Mohammadpur"/>
    <s v="20km-30km"/>
    <s v="Active"/>
    <n v="21633"/>
  </r>
  <r>
    <n v="27"/>
    <x v="26"/>
    <s v="Md.Maruf Hossen"/>
    <x v="2"/>
    <s v="Line Operator"/>
    <x v="1"/>
    <s v="Probation"/>
    <d v="2024-05-18T00:00:00"/>
    <x v="13"/>
    <s v="Male"/>
    <s v="Married"/>
    <s v="O+"/>
    <s v="Gazipur Chowrasta"/>
    <s v="5-10km"/>
    <s v="Active"/>
    <n v="10000"/>
  </r>
  <r>
    <n v="28"/>
    <x v="27"/>
    <s v="Nazmul Hossain"/>
    <x v="3"/>
    <s v="Line Operator"/>
    <x v="0"/>
    <s v="Probation"/>
    <d v="2024-05-30T00:00:00"/>
    <x v="14"/>
    <s v="Male"/>
    <s v="Married"/>
    <s v="AB+"/>
    <s v="Bonmala Road"/>
    <s v="3km-5km"/>
    <s v="Active"/>
    <n v="10000"/>
  </r>
  <r>
    <n v="29"/>
    <x v="28"/>
    <s v="Shohag"/>
    <x v="3"/>
    <s v="Line Operator"/>
    <x v="1"/>
    <s v="Probation"/>
    <d v="2024-06-06T00:00:00"/>
    <x v="15"/>
    <s v="Male"/>
    <s v="Single"/>
    <s v="A+"/>
    <s v="Gazipura 27"/>
    <s v="1km -3km"/>
    <s v="Active"/>
    <n v="5000"/>
  </r>
  <r>
    <n v="30"/>
    <x v="29"/>
    <s v="Nazmul Hosasain"/>
    <x v="2"/>
    <s v="Line Operator"/>
    <x v="0"/>
    <s v="Probation"/>
    <d v="2024-06-07T00:00:00"/>
    <x v="16"/>
    <s v="Male"/>
    <s v="Single"/>
    <s v="B+"/>
    <s v="Gazipura 27"/>
    <s v="1km -3km"/>
    <s v="Active"/>
    <n v="10000"/>
  </r>
  <r>
    <n v="31"/>
    <x v="30"/>
    <s v="Sujon Mia"/>
    <x v="2"/>
    <s v="Line Operator"/>
    <x v="2"/>
    <s v="Probation"/>
    <d v="2024-06-07T00:00:00"/>
    <x v="16"/>
    <s v="Male"/>
    <s v="Single"/>
    <s v="AB+"/>
    <s v="Board Bazar"/>
    <s v="3km-5km"/>
    <s v="Active"/>
    <n v="6211"/>
  </r>
  <r>
    <n v="32"/>
    <x v="31"/>
    <s v="Shourov Miah"/>
    <x v="2"/>
    <s v="Line Operator"/>
    <x v="2"/>
    <s v="Probation"/>
    <d v="2024-06-07T00:00:00"/>
    <x v="16"/>
    <s v="Male"/>
    <s v="Single"/>
    <s v="N/A"/>
    <s v="Boro Bari"/>
    <s v="3km-5km"/>
    <s v="Active"/>
    <n v="36352"/>
  </r>
  <r>
    <n v="33"/>
    <x v="32"/>
    <s v="Abdul Kayyum"/>
    <x v="2"/>
    <s v="Line Operator"/>
    <x v="2"/>
    <s v="Probation"/>
    <d v="2024-06-07T00:00:00"/>
    <x v="16"/>
    <s v="Male"/>
    <s v="Single"/>
    <s v="N/A"/>
    <s v="Hossen Market"/>
    <s v="1km -3km"/>
    <s v="Active"/>
    <n v="2581"/>
  </r>
  <r>
    <n v="34"/>
    <x v="33"/>
    <s v="Aminul Islam"/>
    <x v="2"/>
    <s v="Line Operator"/>
    <x v="2"/>
    <s v="Probation"/>
    <d v="2024-06-07T00:00:00"/>
    <x v="16"/>
    <s v="Male"/>
    <s v="Single"/>
    <s v="B+"/>
    <s v="Board Bazar"/>
    <s v="3km-5km"/>
    <s v="Active"/>
    <n v="2365"/>
  </r>
  <r>
    <n v="35"/>
    <x v="34"/>
    <s v="Rafiu Ahmed"/>
    <x v="2"/>
    <s v="Line Operator"/>
    <x v="2"/>
    <s v="Probation"/>
    <d v="2024-06-07T00:00:00"/>
    <x v="16"/>
    <s v="Male"/>
    <s v="Married"/>
    <s v="B+"/>
    <s v="Sign board"/>
    <s v="3km-5km"/>
    <s v="Active"/>
    <n v="10000"/>
  </r>
  <r>
    <n v="36"/>
    <x v="35"/>
    <s v="Rubel Rana"/>
    <x v="0"/>
    <s v="Line Operator"/>
    <x v="2"/>
    <s v="Probation"/>
    <d v="2024-06-07T00:00:00"/>
    <x v="16"/>
    <s v="Male"/>
    <s v="Single"/>
    <s v="B+"/>
    <s v="Gazipura 27"/>
    <s v="1km -3km"/>
    <s v="Active"/>
    <n v="10000"/>
  </r>
  <r>
    <n v="37"/>
    <x v="36"/>
    <s v="Toyon Babu"/>
    <x v="2"/>
    <s v="Line Operator"/>
    <x v="2"/>
    <s v="Probation"/>
    <d v="2024-06-07T00:00:00"/>
    <x v="16"/>
    <s v="Male"/>
    <s v="Single"/>
    <s v="N/A"/>
    <s v="Gazipura 27"/>
    <s v="1km -3km"/>
    <s v="Active"/>
    <n v="16554"/>
  </r>
  <r>
    <n v="38"/>
    <x v="37"/>
    <s v="Md. Sanoar Islam Shadin"/>
    <x v="2"/>
    <s v="Line Operator"/>
    <x v="2"/>
    <s v="Probation"/>
    <d v="2024-06-07T00:00:00"/>
    <x v="16"/>
    <s v="Male"/>
    <s v="Single"/>
    <s v="AB+"/>
    <s v="Gazipura 27"/>
    <s v="1km -3km"/>
    <s v="Active"/>
    <n v="10000"/>
  </r>
  <r>
    <n v="39"/>
    <x v="38"/>
    <s v="Mizanur Rahman "/>
    <x v="2"/>
    <s v="Line Operator"/>
    <x v="2"/>
    <s v="Probation"/>
    <d v="2024-06-07T00:00:00"/>
    <x v="16"/>
    <s v="Male"/>
    <s v="Married"/>
    <s v="A+"/>
    <s v="Gazipura 27"/>
    <s v="1km -3km"/>
    <s v="Active"/>
    <n v="10000"/>
  </r>
  <r>
    <n v="40"/>
    <x v="39"/>
    <s v="Tanjim Ahmed"/>
    <x v="2"/>
    <s v="Line Operator"/>
    <x v="2"/>
    <s v="Probation"/>
    <d v="2024-06-07T00:00:00"/>
    <x v="16"/>
    <s v="Male"/>
    <s v="Married"/>
    <s v="B+"/>
    <s v="Gazipura 27"/>
    <s v="1km -3km"/>
    <s v="Active"/>
    <n v="10000"/>
  </r>
  <r>
    <n v="41"/>
    <x v="40"/>
    <s v="Sahara Akter Bristy"/>
    <x v="3"/>
    <s v="Line Operator"/>
    <x v="2"/>
    <s v="Probation"/>
    <d v="2024-06-07T00:00:00"/>
    <x v="16"/>
    <s v="Female"/>
    <s v="Married"/>
    <s v="A+"/>
    <s v="Gazipura 27"/>
    <s v="1km -3km"/>
    <s v="Active"/>
    <n v="165146"/>
  </r>
  <r>
    <n v="42"/>
    <x v="41"/>
    <s v="Shahadat Hossain"/>
    <x v="0"/>
    <s v="Line Operator"/>
    <x v="2"/>
    <s v="Probation"/>
    <d v="2024-06-07T00:00:00"/>
    <x v="16"/>
    <s v="Male"/>
    <s v="Single"/>
    <s v="O+"/>
    <s v="Board Bazar"/>
    <s v="3km-5km"/>
    <s v="Active"/>
    <n v="10000"/>
  </r>
  <r>
    <n v="43"/>
    <x v="42"/>
    <s v="Nittananda Das"/>
    <x v="0"/>
    <s v="Line Operator"/>
    <x v="2"/>
    <s v="Probation"/>
    <d v="2024-06-07T00:00:00"/>
    <x v="16"/>
    <s v="Male"/>
    <s v="Single"/>
    <s v="A-"/>
    <s v="Gazipura 27"/>
    <s v="1km -3km"/>
    <s v="Active"/>
    <n v="10000"/>
  </r>
  <r>
    <n v="44"/>
    <x v="43"/>
    <s v="Milon Hossain "/>
    <x v="0"/>
    <s v="Line Operator"/>
    <x v="2"/>
    <s v="Probation"/>
    <d v="2024-06-07T00:00:00"/>
    <x v="16"/>
    <s v="Male"/>
    <s v="Single"/>
    <s v="B+"/>
    <s v="Gazipura 27"/>
    <s v="1km -3km"/>
    <s v="Active"/>
    <n v="215"/>
  </r>
  <r>
    <n v="45"/>
    <x v="44"/>
    <s v="Hassan Mahmud"/>
    <x v="2"/>
    <s v="Line Operator"/>
    <x v="2"/>
    <s v="Probation"/>
    <d v="2024-06-07T00:00:00"/>
    <x v="16"/>
    <s v="Male"/>
    <s v="Single"/>
    <s v="O+"/>
    <s v="Gazipura 27"/>
    <s v="1km -3km"/>
    <s v="Active"/>
    <n v="10000"/>
  </r>
  <r>
    <n v="46"/>
    <x v="45"/>
    <s v="Mst. Happy"/>
    <x v="2"/>
    <s v="Line Operator"/>
    <x v="2"/>
    <s v="Probation"/>
    <d v="2024-06-07T00:00:00"/>
    <x v="16"/>
    <s v="Female"/>
    <s v="Single"/>
    <s v="B-"/>
    <s v="Board Bazar"/>
    <s v="3km-5km"/>
    <s v="Active"/>
    <n v="10000"/>
  </r>
  <r>
    <n v="47"/>
    <x v="46"/>
    <s v="Kamrul Hasan"/>
    <x v="2"/>
    <s v="Line Operator"/>
    <x v="2"/>
    <s v="Probation"/>
    <d v="2024-06-07T00:00:00"/>
    <x v="16"/>
    <s v="Male"/>
    <s v="Single"/>
    <s v="B+"/>
    <s v="Gazipur Chowrasta"/>
    <s v="5-10km"/>
    <s v="Active"/>
    <n v="16365"/>
  </r>
  <r>
    <n v="48"/>
    <x v="47"/>
    <s v="Mahenur Islam"/>
    <x v="2"/>
    <s v="Line Operator"/>
    <x v="2"/>
    <s v="Probation"/>
    <d v="2024-06-07T00:00:00"/>
    <x v="16"/>
    <s v="Female"/>
    <s v="Single"/>
    <s v="B+"/>
    <s v="Sign board"/>
    <s v="3km-5km"/>
    <s v="Active"/>
    <n v="10000"/>
  </r>
  <r>
    <n v="49"/>
    <x v="48"/>
    <s v="Md. Samiul Islam"/>
    <x v="2"/>
    <s v="Line Operator"/>
    <x v="2"/>
    <s v="Probation"/>
    <d v="2024-06-07T00:00:00"/>
    <x v="16"/>
    <s v="Male"/>
    <s v="Single"/>
    <s v="N/A"/>
    <s v="Gazipura 27"/>
    <s v="1km -3km"/>
    <s v="Active"/>
    <n v="10000"/>
  </r>
  <r>
    <n v="50"/>
    <x v="49"/>
    <s v="Sohana akter sonia"/>
    <x v="2"/>
    <s v="Line Operator"/>
    <x v="2"/>
    <s v="Probation"/>
    <d v="2024-06-07T00:00:00"/>
    <x v="16"/>
    <s v="Female"/>
    <s v="Single"/>
    <s v="O+"/>
    <s v="Board Bazar"/>
    <s v="3km-5km"/>
    <s v="Active"/>
    <n v="1636"/>
  </r>
  <r>
    <n v="51"/>
    <x v="50"/>
    <s v="Ananna Pervin"/>
    <x v="2"/>
    <s v="Line Operator"/>
    <x v="2"/>
    <s v="Probation"/>
    <d v="2024-06-07T00:00:00"/>
    <x v="16"/>
    <s v="Female"/>
    <s v="Single"/>
    <s v="O+"/>
    <s v="Gazipura 27"/>
    <s v="1km -3km"/>
    <s v="Active"/>
    <n v="10000"/>
  </r>
  <r>
    <n v="52"/>
    <x v="51"/>
    <s v="Sorovi"/>
    <x v="0"/>
    <s v="Line Operator"/>
    <x v="2"/>
    <s v="Probation"/>
    <d v="2024-06-07T00:00:00"/>
    <x v="16"/>
    <s v="Female"/>
    <s v="Single"/>
    <s v="O+"/>
    <s v="Gazipura 27"/>
    <s v="1km -3km"/>
    <s v="Active"/>
    <n v="10000"/>
  </r>
  <r>
    <n v="53"/>
    <x v="52"/>
    <s v="Kulsum Akter"/>
    <x v="2"/>
    <s v="Line Operator"/>
    <x v="2"/>
    <s v="Probation"/>
    <d v="2024-06-07T00:00:00"/>
    <x v="16"/>
    <s v="Female"/>
    <s v="Single"/>
    <s v="O+"/>
    <s v="Board Bazar"/>
    <s v="3km-5km"/>
    <s v="Active"/>
    <n v="2163263"/>
  </r>
  <r>
    <n v="54"/>
    <x v="53"/>
    <s v="Antora Khatun"/>
    <x v="2"/>
    <s v="Line Operator"/>
    <x v="2"/>
    <s v="Probation"/>
    <d v="2024-06-07T00:00:00"/>
    <x v="16"/>
    <s v="Female"/>
    <s v="Married"/>
    <s v="B+"/>
    <s v="Gazipura 27"/>
    <s v="1km -3km"/>
    <s v="Active"/>
    <n v="10000"/>
  </r>
  <r>
    <n v="55"/>
    <x v="54"/>
    <s v="Rokrya Akter Eti"/>
    <x v="2"/>
    <s v="Line Operator"/>
    <x v="2"/>
    <s v="Probation"/>
    <d v="2024-06-07T00:00:00"/>
    <x v="16"/>
    <s v="Female"/>
    <s v="Single"/>
    <s v="A+"/>
    <s v="Gazipura 27"/>
    <s v="1km -3km"/>
    <s v="Active"/>
    <n v="10000"/>
  </r>
  <r>
    <n v="56"/>
    <x v="55"/>
    <s v="Sumaiya Khanom"/>
    <x v="2"/>
    <s v="Executive"/>
    <x v="2"/>
    <s v="Probation"/>
    <d v="2024-06-07T00:00:00"/>
    <x v="16"/>
    <s v="Female"/>
    <s v="Single"/>
    <s v="B+"/>
    <s v="Gazipura 27"/>
    <s v="1km -3km"/>
    <s v="Active"/>
    <n v="2362"/>
  </r>
  <r>
    <n v="57"/>
    <x v="56"/>
    <s v="Sumaya Akter"/>
    <x v="3"/>
    <s v="Executive"/>
    <x v="2"/>
    <s v="Probation"/>
    <d v="2024-06-07T00:00:00"/>
    <x v="16"/>
    <s v="Female"/>
    <s v="Single"/>
    <s v="B+"/>
    <s v="Gazipur Sadar"/>
    <s v="10-15km"/>
    <s v="Active"/>
    <n v="10000"/>
  </r>
  <r>
    <n v="58"/>
    <x v="57"/>
    <s v="Armina Akter Akhi"/>
    <x v="2"/>
    <s v="Manager"/>
    <x v="2"/>
    <s v="Probation"/>
    <d v="2024-06-07T00:00:00"/>
    <x v="16"/>
    <s v="Female"/>
    <s v="Married"/>
    <s v="A+"/>
    <s v="Gazipura 27"/>
    <s v="1km -3km"/>
    <s v="Active"/>
    <n v="10000"/>
  </r>
  <r>
    <n v="59"/>
    <x v="58"/>
    <s v="Md. Nadim Mahmud"/>
    <x v="0"/>
    <s v="Manager"/>
    <x v="2"/>
    <s v="Probation"/>
    <d v="2024-06-07T00:00:00"/>
    <x v="16"/>
    <s v="Female"/>
    <s v="Married"/>
    <s v="A+"/>
    <s v="Gazipura 27"/>
    <s v="1km -3km"/>
    <s v="Active"/>
    <n v="132"/>
  </r>
  <r>
    <n v="60"/>
    <x v="59"/>
    <s v="Md. Minhajul Islam"/>
    <x v="0"/>
    <s v="Senior Eecutive"/>
    <x v="2"/>
    <s v="Probation"/>
    <d v="2024-06-07T00:00:00"/>
    <x v="16"/>
    <s v="Male"/>
    <s v="Single"/>
    <s v="A+"/>
    <s v="Gazipura 27"/>
    <s v="1km -3km"/>
    <s v="Active"/>
    <n v="10000"/>
  </r>
  <r>
    <n v="61"/>
    <x v="60"/>
    <s v="Md. Yousuf Ali"/>
    <x v="2"/>
    <s v="Executive"/>
    <x v="2"/>
    <s v="Probation"/>
    <d v="2024-06-07T00:00:00"/>
    <x v="16"/>
    <s v="Male"/>
    <s v="Married"/>
    <s v="O+"/>
    <s v="Gazipura 27"/>
    <s v="1km -3km"/>
    <s v="Active"/>
    <n v="10000"/>
  </r>
  <r>
    <n v="62"/>
    <x v="61"/>
    <s v="Md. Nafish Muthashim Ratul"/>
    <x v="2"/>
    <s v="Executive"/>
    <x v="2"/>
    <s v="Probation"/>
    <d v="2024-06-07T00:00:00"/>
    <x v="16"/>
    <s v="Female"/>
    <s v="Single"/>
    <s v="O+"/>
    <s v="Gazipura 27"/>
    <s v="1km -3km"/>
    <s v="Active"/>
    <n v="232"/>
  </r>
  <r>
    <n v="63"/>
    <x v="62"/>
    <s v="Md. Babu Mia"/>
    <x v="2"/>
    <s v="Executive"/>
    <x v="2"/>
    <s v="Probation"/>
    <d v="2024-06-07T00:00:00"/>
    <x v="16"/>
    <s v="Female"/>
    <s v="Single"/>
    <s v="O+"/>
    <s v="Board Bazar"/>
    <s v="3km-5km"/>
    <s v="Active"/>
    <n v="10000"/>
  </r>
  <r>
    <n v="64"/>
    <x v="63"/>
    <s v="Hasi Akter"/>
    <x v="3"/>
    <s v="Executive"/>
    <x v="2"/>
    <s v="Probation"/>
    <d v="2024-06-07T00:00:00"/>
    <x v="16"/>
    <s v="Female"/>
    <s v="Single"/>
    <s v="N/A"/>
    <s v="Board Bazar"/>
    <s v="3km-5km"/>
    <s v="Active"/>
    <n v="10000"/>
  </r>
  <r>
    <n v="65"/>
    <x v="64"/>
    <s v="Sumon Mia"/>
    <x v="2"/>
    <s v="Executive"/>
    <x v="2"/>
    <s v="Probation"/>
    <d v="2024-06-07T00:00:00"/>
    <x v="16"/>
    <s v="Male"/>
    <s v="Single"/>
    <s v="O+"/>
    <s v="Vogra Baypass"/>
    <s v="5-10km"/>
    <s v="Active"/>
    <n v="215"/>
  </r>
  <r>
    <n v="66"/>
    <x v="65"/>
    <s v="Rakibul Islam"/>
    <x v="0"/>
    <s v="Assistant Manager"/>
    <x v="2"/>
    <s v="Probation"/>
    <d v="2024-06-07T00:00:00"/>
    <x v="16"/>
    <s v="Male"/>
    <s v="Single"/>
    <s v="B+"/>
    <s v="Gazipura 27"/>
    <s v="1km -3km"/>
    <s v="Active"/>
    <n v="20000"/>
  </r>
  <r>
    <n v="67"/>
    <x v="66"/>
    <s v="Sudip Chandra "/>
    <x v="0"/>
    <s v="Manager"/>
    <x v="2"/>
    <s v="Probation"/>
    <d v="2024-06-07T00:00:00"/>
    <x v="16"/>
    <s v="Male"/>
    <s v="Single"/>
    <s v="A+"/>
    <s v="Gazipura 27"/>
    <s v="1km -3km"/>
    <s v="Active"/>
    <n v="155"/>
  </r>
  <r>
    <n v="68"/>
    <x v="67"/>
    <s v="Merajul "/>
    <x v="0"/>
    <s v="Assistant Leader"/>
    <x v="2"/>
    <s v="Probation"/>
    <d v="2024-06-07T00:00:00"/>
    <x v="16"/>
    <s v="Male"/>
    <s v="Married"/>
    <s v="O+"/>
    <s v="Gazipura 27"/>
    <s v="1km -3km"/>
    <s v="Active"/>
    <n v="20000"/>
  </r>
  <r>
    <n v="69"/>
    <x v="68"/>
    <s v="Rashedul Islam"/>
    <x v="0"/>
    <s v="Line Leader"/>
    <x v="2"/>
    <s v="Probation"/>
    <d v="2024-06-07T00:00:00"/>
    <x v="16"/>
    <s v="Male"/>
    <s v="Single"/>
    <s v="O+"/>
    <s v="Gazipura 27"/>
    <s v="1km -3km"/>
    <s v="Active"/>
    <n v="20000"/>
  </r>
  <r>
    <n v="70"/>
    <x v="69"/>
    <s v="Shamim Hossen"/>
    <x v="5"/>
    <s v="Line Operator"/>
    <x v="2"/>
    <s v="Probation"/>
    <d v="2024-06-07T00:00:00"/>
    <x v="16"/>
    <s v="Male"/>
    <s v="Single"/>
    <s v="O+"/>
    <s v="Gazipura 27"/>
    <s v="1km -3km"/>
    <s v="Active"/>
    <n v="26526"/>
  </r>
  <r>
    <n v="71"/>
    <x v="70"/>
    <s v="Mahafuj Zim Megh"/>
    <x v="0"/>
    <s v="Line Operator"/>
    <x v="2"/>
    <s v="Probation"/>
    <d v="2024-06-07T00:00:00"/>
    <x v="16"/>
    <s v="Male"/>
    <s v="Married"/>
    <s v="AB+"/>
    <s v="Board Bazar"/>
    <s v="3km-5km"/>
    <s v="Active"/>
    <n v="10000"/>
  </r>
  <r>
    <n v="72"/>
    <x v="71"/>
    <s v="Tarikul Islam"/>
    <x v="5"/>
    <s v="Line Operator"/>
    <x v="2"/>
    <s v="Probation"/>
    <d v="2024-06-07T00:00:00"/>
    <x v="16"/>
    <s v="Male"/>
    <s v="Single"/>
    <s v="A+"/>
    <s v="Gazipura 27"/>
    <s v="1km -3km"/>
    <s v="Active"/>
    <n v="10000"/>
  </r>
  <r>
    <n v="73"/>
    <x v="72"/>
    <s v="Md. Mahfujur Rahman"/>
    <x v="0"/>
    <s v="Line Operator"/>
    <x v="2"/>
    <s v="Probation"/>
    <d v="2024-06-07T00:00:00"/>
    <x v="16"/>
    <s v="Male"/>
    <s v="Single"/>
    <s v="B+"/>
    <s v="Board Bazar"/>
    <s v="3km-5km"/>
    <s v="Active"/>
    <n v="262"/>
  </r>
  <r>
    <n v="74"/>
    <x v="73"/>
    <s v="Prarvin Akter"/>
    <x v="2"/>
    <s v="Line Operator"/>
    <x v="2"/>
    <s v="Probation"/>
    <d v="2024-06-08T00:00:00"/>
    <x v="17"/>
    <s v="Female"/>
    <s v="Single"/>
    <s v="O+"/>
    <s v="Sign board"/>
    <s v="3km-5km"/>
    <s v="Active"/>
    <n v="10000"/>
  </r>
  <r>
    <n v="75"/>
    <x v="74"/>
    <s v="Mahmudul Hasan"/>
    <x v="3"/>
    <s v="Line Operator"/>
    <x v="2"/>
    <s v="Probation"/>
    <d v="2024-06-08T00:00:00"/>
    <x v="17"/>
    <s v="Male"/>
    <s v="Single"/>
    <s v="O+"/>
    <s v="Board Bazar"/>
    <s v="3km-5km"/>
    <s v="Active"/>
    <n v="10000"/>
  </r>
  <r>
    <n v="76"/>
    <x v="75"/>
    <s v="Mehedi Hasan Shanto"/>
    <x v="3"/>
    <s v="Line Operator"/>
    <x v="2"/>
    <s v="Probation"/>
    <d v="2024-06-08T00:00:00"/>
    <x v="17"/>
    <s v="Male"/>
    <s v="Single"/>
    <s v="AB+"/>
    <s v="Board Bazar"/>
    <s v="3km-5km"/>
    <s v="Active"/>
    <n v="1626"/>
  </r>
  <r>
    <n v="77"/>
    <x v="76"/>
    <s v="Safikul Islam Emon"/>
    <x v="2"/>
    <s v="Line Operator"/>
    <x v="2"/>
    <s v="Probation"/>
    <d v="2024-06-08T00:00:00"/>
    <x v="17"/>
    <s v="Male"/>
    <s v="Single"/>
    <s v="B+"/>
    <s v="Ershad Nagar"/>
    <s v="1km -3km"/>
    <s v="Active"/>
    <n v="10000"/>
  </r>
  <r>
    <n v="78"/>
    <x v="77"/>
    <s v="Nazmul Islam Emon"/>
    <x v="2"/>
    <s v="Line Operator"/>
    <x v="2"/>
    <s v="Probation"/>
    <d v="2024-06-08T00:00:00"/>
    <x v="17"/>
    <s v="Male"/>
    <s v="Single"/>
    <s v="O+"/>
    <s v="Ershad Nagar"/>
    <s v="1km -3km"/>
    <s v="Active"/>
    <n v="10000"/>
  </r>
  <r>
    <n v="79"/>
    <x v="78"/>
    <s v="Junaed Hasan"/>
    <x v="3"/>
    <s v="Line Operator"/>
    <x v="2"/>
    <s v="Probation"/>
    <d v="2024-06-08T00:00:00"/>
    <x v="17"/>
    <s v="Male"/>
    <s v="Single"/>
    <s v="N/A"/>
    <s v="Gacha"/>
    <s v="3km-5km"/>
    <s v="Active"/>
    <n v="266"/>
  </r>
  <r>
    <n v="80"/>
    <x v="79"/>
    <s v="Din Mohammed Rabbi"/>
    <x v="3"/>
    <s v="Line Operator"/>
    <x v="2"/>
    <s v="Probation"/>
    <d v="2024-06-08T00:00:00"/>
    <x v="17"/>
    <s v="Male"/>
    <s v="Single"/>
    <s v="A+"/>
    <s v="Ershad Nagar"/>
    <s v="1km -3km"/>
    <s v="Active"/>
    <n v="10000"/>
  </r>
  <r>
    <n v="81"/>
    <x v="80"/>
    <s v="Fazlul Haque"/>
    <x v="3"/>
    <s v="Loader"/>
    <x v="2"/>
    <s v="Probation"/>
    <d v="2024-06-08T00:00:00"/>
    <x v="17"/>
    <s v="Male"/>
    <s v="Married"/>
    <s v="N/A"/>
    <s v="Gazipura 27"/>
    <s v="1km -3km"/>
    <s v="Active"/>
    <n v="10000"/>
  </r>
  <r>
    <n v="82"/>
    <x v="81"/>
    <s v="Md. Faruk Hossain"/>
    <x v="3"/>
    <s v="Line Operator"/>
    <x v="2"/>
    <s v="Probation"/>
    <d v="2024-06-08T00:00:00"/>
    <x v="17"/>
    <s v="Male"/>
    <s v="Single"/>
    <s v="N/A"/>
    <s v="Gazipura 27"/>
    <s v="1km -3km"/>
    <s v="Active"/>
    <n v="16"/>
  </r>
  <r>
    <n v="83"/>
    <x v="82"/>
    <s v="Md. Shihab Uddin"/>
    <x v="3"/>
    <s v="Line Operator"/>
    <x v="2"/>
    <s v="Probation"/>
    <d v="2024-06-08T00:00:00"/>
    <x v="17"/>
    <s v="Male"/>
    <s v="Single"/>
    <s v="A+"/>
    <s v="Gazipura 27"/>
    <s v="1km -3km"/>
    <s v="Active"/>
    <n v="1000"/>
  </r>
  <r>
    <n v="84"/>
    <x v="83"/>
    <s v="Masum Rana"/>
    <x v="2"/>
    <s v="Line Operator"/>
    <x v="2"/>
    <s v="Probation"/>
    <d v="2024-06-08T00:00:00"/>
    <x v="17"/>
    <s v="Male"/>
    <s v="Single"/>
    <s v="A+"/>
    <s v="Gazipura 27"/>
    <s v="1km -3km"/>
    <s v="Active"/>
    <n v="1000"/>
  </r>
  <r>
    <n v="85"/>
    <x v="84"/>
    <s v="Md. Imran Hossain"/>
    <x v="3"/>
    <s v="Line Operator"/>
    <x v="2"/>
    <s v="Probation"/>
    <d v="2024-06-08T00:00:00"/>
    <x v="17"/>
    <s v="Male"/>
    <s v="Single"/>
    <s v="B+"/>
    <s v="Gazipura 27"/>
    <s v="1km -3km"/>
    <s v="Active"/>
    <n v="616"/>
  </r>
  <r>
    <n v="86"/>
    <x v="85"/>
    <s v="Mahafuzur Rahman"/>
    <x v="2"/>
    <s v="Line Operator"/>
    <x v="2"/>
    <s v="Probation"/>
    <d v="2024-06-08T00:00:00"/>
    <x v="17"/>
    <s v="Male"/>
    <s v="Single"/>
    <s v="AB+"/>
    <s v="Gazipura 27"/>
    <s v="1km -3km"/>
    <s v="Active"/>
    <n v="1000"/>
  </r>
  <r>
    <n v="87"/>
    <x v="86"/>
    <s v="Md. Shahrier Nayeem"/>
    <x v="2"/>
    <s v="Line Operator"/>
    <x v="2"/>
    <s v="Probation"/>
    <d v="2024-06-08T00:00:00"/>
    <x v="17"/>
    <s v="Male"/>
    <s v="Single"/>
    <s v="AB+"/>
    <s v="Board Bazar"/>
    <s v="3km-5km"/>
    <s v="Active"/>
    <n v="1000"/>
  </r>
  <r>
    <n v="88"/>
    <x v="87"/>
    <s v="Faysal Hossain"/>
    <x v="2"/>
    <s v="Line Operator"/>
    <x v="2"/>
    <s v="Probation"/>
    <d v="2024-06-08T00:00:00"/>
    <x v="17"/>
    <s v="Male"/>
    <s v="Single"/>
    <s v="N/A"/>
    <s v="Boro Bari"/>
    <s v="3km-5km"/>
    <s v="Active"/>
    <n v="1662"/>
  </r>
  <r>
    <n v="89"/>
    <x v="88"/>
    <s v="Sabbir Hossain Sagor"/>
    <x v="3"/>
    <s v="Line Operator"/>
    <x v="2"/>
    <s v="Probation"/>
    <d v="2024-06-08T00:00:00"/>
    <x v="17"/>
    <s v="Male"/>
    <s v="Single"/>
    <s v="A+"/>
    <s v="Gazipura 27"/>
    <s v="1km -3km"/>
    <s v="Active"/>
    <n v="10000"/>
  </r>
  <r>
    <n v="90"/>
    <x v="89"/>
    <s v="Faysal Mahamud"/>
    <x v="2"/>
    <s v="Line Operator"/>
    <x v="2"/>
    <s v="Probation"/>
    <d v="2024-06-08T00:00:00"/>
    <x v="17"/>
    <s v="Male"/>
    <s v="Single"/>
    <s v="O+"/>
    <s v="Gazipura 27"/>
    <s v="1km -3km"/>
    <s v="Active"/>
    <n v="16326"/>
  </r>
  <r>
    <n v="91"/>
    <x v="90"/>
    <s v="Md. Samiul Islam"/>
    <x v="2"/>
    <s v="Line Operator"/>
    <x v="2"/>
    <s v="Probation"/>
    <d v="2024-06-08T00:00:00"/>
    <x v="17"/>
    <s v="Male"/>
    <s v="Married"/>
    <s v="N/A"/>
    <s v="Gazipura 27"/>
    <s v="1km -3km"/>
    <s v="Active"/>
    <n v="10000"/>
  </r>
  <r>
    <n v="92"/>
    <x v="91"/>
    <s v="Sojib Hossain"/>
    <x v="3"/>
    <s v="Line Operator"/>
    <x v="2"/>
    <s v="Probation"/>
    <d v="2024-06-08T00:00:00"/>
    <x v="17"/>
    <s v="Male"/>
    <s v="Single"/>
    <s v="O+"/>
    <s v="Gazipura 27"/>
    <s v="1km -3km"/>
    <s v="Active"/>
    <n v="26265"/>
  </r>
  <r>
    <n v="93"/>
    <x v="92"/>
    <s v="Rahul Mia"/>
    <x v="0"/>
    <s v="Line Operator"/>
    <x v="2"/>
    <s v="Probation"/>
    <d v="2024-06-08T00:00:00"/>
    <x v="17"/>
    <s v="Male"/>
    <s v="Single"/>
    <s v="O+"/>
    <s v="Gazipura 27"/>
    <s v="1km -3km"/>
    <s v="Active"/>
    <n v="2162"/>
  </r>
  <r>
    <n v="94"/>
    <x v="93"/>
    <s v="Munni Akter"/>
    <x v="0"/>
    <s v="Line Operator"/>
    <x v="2"/>
    <s v="Probation"/>
    <d v="2024-06-08T00:00:00"/>
    <x v="17"/>
    <s v="Female"/>
    <s v="Single"/>
    <s v="O+"/>
    <s v="Board Bazar"/>
    <s v="3km-5km"/>
    <s v="Active"/>
    <n v="10000"/>
  </r>
  <r>
    <n v="95"/>
    <x v="94"/>
    <s v="Tonima Shams"/>
    <x v="5"/>
    <s v="Line Operator"/>
    <x v="2"/>
    <s v="Probation"/>
    <d v="2024-06-08T00:00:00"/>
    <x v="17"/>
    <s v="Female"/>
    <s v="Single"/>
    <s v="A+"/>
    <s v="Gazipura 27"/>
    <s v="1km -3km"/>
    <s v="Active"/>
    <n v="16521"/>
  </r>
  <r>
    <n v="96"/>
    <x v="95"/>
    <s v="Nadia Sultana Beauty"/>
    <x v="5"/>
    <s v="Line Operator"/>
    <x v="2"/>
    <s v="Probation"/>
    <d v="2024-06-08T00:00:00"/>
    <x v="17"/>
    <s v="Female"/>
    <s v="Single"/>
    <s v="B+"/>
    <s v="Shimultoli"/>
    <s v="3km-5km"/>
    <s v="Active"/>
    <n v="21625"/>
  </r>
  <r>
    <n v="97"/>
    <x v="96"/>
    <s v="Sorovi"/>
    <x v="0"/>
    <s v="Line Operator"/>
    <x v="2"/>
    <s v="Probation"/>
    <d v="2024-06-08T00:00:00"/>
    <x v="17"/>
    <s v="Female"/>
    <s v="Single"/>
    <s v="B+"/>
    <s v="Gazipur Chowrasta"/>
    <s v="5-10km"/>
    <s v="Active"/>
    <n v="6526"/>
  </r>
  <r>
    <n v="98"/>
    <x v="97"/>
    <s v="Kulsum Akter"/>
    <x v="0"/>
    <s v="Line Operator"/>
    <x v="2"/>
    <s v="Probation"/>
    <d v="2024-06-08T00:00:00"/>
    <x v="17"/>
    <s v="Female"/>
    <s v="Single"/>
    <s v="A+"/>
    <s v="College Gate"/>
    <s v="3km-5km"/>
    <s v="Active"/>
    <n v="655"/>
  </r>
  <r>
    <n v="99"/>
    <x v="98"/>
    <s v="Antora Khatun"/>
    <x v="0"/>
    <s v="Line Operator"/>
    <x v="2"/>
    <s v="Probation"/>
    <d v="2024-06-08T00:00:00"/>
    <x v="17"/>
    <s v="Female"/>
    <s v="Married"/>
    <s v="B+"/>
    <s v="Gazipura 27"/>
    <s v="1km -3km"/>
    <s v="Active"/>
    <n v="62146"/>
  </r>
  <r>
    <n v="100"/>
    <x v="99"/>
    <s v="Rokrya Akter Eti"/>
    <x v="0"/>
    <s v="Line Operator"/>
    <x v="2"/>
    <s v="Probation"/>
    <d v="2024-06-08T00:00:00"/>
    <x v="17"/>
    <s v="Female"/>
    <s v="Single"/>
    <s v="AB+"/>
    <s v="Board Bazar"/>
    <s v="3km-5km"/>
    <s v="Active"/>
    <n v="2656"/>
  </r>
  <r>
    <n v="101"/>
    <x v="100"/>
    <s v="Sumaiya Khanom"/>
    <x v="3"/>
    <s v="Line Operator"/>
    <x v="2"/>
    <s v="Probation"/>
    <d v="2024-06-08T00:00:00"/>
    <x v="17"/>
    <s v="Female"/>
    <s v="Single"/>
    <s v="B+"/>
    <s v="Gazipura 27"/>
    <s v="1km -3km"/>
    <s v="Active"/>
    <n v="216"/>
  </r>
  <r>
    <n v="102"/>
    <x v="101"/>
    <s v="Sumaya Akter"/>
    <x v="2"/>
    <s v="Line Operator"/>
    <x v="2"/>
    <s v="Probation"/>
    <d v="2024-06-08T00:00:00"/>
    <x v="17"/>
    <s v="Female"/>
    <s v="Single"/>
    <s v="A+"/>
    <s v="Gazipura 27"/>
    <s v="1km -3km"/>
    <s v="Active"/>
    <n v="65143"/>
  </r>
  <r>
    <n v="103"/>
    <x v="102"/>
    <s v="Armina Akter Akhi"/>
    <x v="2"/>
    <s v="Line Operator"/>
    <x v="2"/>
    <s v="Probation"/>
    <d v="2024-06-08T00:00:00"/>
    <x v="17"/>
    <s v="Female"/>
    <s v="Single"/>
    <s v="B+"/>
    <s v="Gazipura 27"/>
    <s v="1km -3km"/>
    <s v="Active"/>
    <n v="10000"/>
  </r>
  <r>
    <n v="104"/>
    <x v="103"/>
    <s v="Md. Nadim Mahmud"/>
    <x v="2"/>
    <s v="Line Operator"/>
    <x v="2"/>
    <s v="Probation"/>
    <d v="2024-06-08T00:00:00"/>
    <x v="17"/>
    <s v="Male"/>
    <s v="Single"/>
    <s v="A+"/>
    <s v="Gazipura 27"/>
    <s v="1km -3km"/>
    <s v="Active"/>
    <n v="10000"/>
  </r>
  <r>
    <n v="105"/>
    <x v="104"/>
    <s v="Md. Minhajul Islam"/>
    <x v="3"/>
    <s v="Line Operator"/>
    <x v="2"/>
    <s v="Probation"/>
    <d v="2024-06-08T00:00:00"/>
    <x v="17"/>
    <s v="Male"/>
    <s v="Single"/>
    <s v="AB+"/>
    <s v="Gazipura 27"/>
    <s v="1km -3km"/>
    <s v="Active"/>
    <n v="5000"/>
  </r>
  <r>
    <n v="106"/>
    <x v="105"/>
    <s v="Md. Yousuf Ali"/>
    <x v="2"/>
    <s v="Line Operator"/>
    <x v="2"/>
    <s v="Probation"/>
    <d v="2024-06-08T00:00:00"/>
    <x v="17"/>
    <s v="Male"/>
    <s v="Single"/>
    <s v="B+"/>
    <s v="Gazipura 27"/>
    <s v="1km -3km"/>
    <s v="Active"/>
    <n v="5000"/>
  </r>
  <r>
    <n v="107"/>
    <x v="106"/>
    <s v="Md. Nafish Muthashim Ratul"/>
    <x v="2"/>
    <s v="Line Operator"/>
    <x v="2"/>
    <s v="Probation"/>
    <d v="2024-06-08T00:00:00"/>
    <x v="17"/>
    <s v="Male"/>
    <s v="Single"/>
    <s v="B+"/>
    <s v="Gazipura 27"/>
    <s v="1km -3km"/>
    <s v="Active"/>
    <n v="5000"/>
  </r>
  <r>
    <n v="108"/>
    <x v="107"/>
    <s v="Md. Babu Mia"/>
    <x v="2"/>
    <s v="Line Operator"/>
    <x v="2"/>
    <s v="Probation"/>
    <d v="2024-06-08T00:00:00"/>
    <x v="17"/>
    <s v="Male"/>
    <s v="Single"/>
    <s v="A+"/>
    <s v="Gazipur Chowrasta"/>
    <s v="5-10km"/>
    <s v="Active"/>
    <n v="5000"/>
  </r>
  <r>
    <n v="109"/>
    <x v="108"/>
    <s v="Samsur Rahman Shakil"/>
    <x v="3"/>
    <s v="Line Operator"/>
    <x v="2"/>
    <s v="Probation"/>
    <d v="2024-06-08T00:00:00"/>
    <x v="17"/>
    <s v="Male"/>
    <s v="Single"/>
    <s v="B+"/>
    <s v="Sign board"/>
    <s v="3km-5km"/>
    <s v="Active"/>
    <n v="5000"/>
  </r>
  <r>
    <n v="110"/>
    <x v="109"/>
    <s v="Md. Nahid Hasan Shaon"/>
    <x v="2"/>
    <s v="Line Operator"/>
    <x v="2"/>
    <s v="Probation"/>
    <d v="2024-06-08T00:00:00"/>
    <x v="17"/>
    <s v="Male"/>
    <s v="Single"/>
    <s v="O-"/>
    <s v="Hossen Market"/>
    <s v="1km -3km"/>
    <s v="Active"/>
    <n v="5000"/>
  </r>
  <r>
    <n v="111"/>
    <x v="110"/>
    <s v="Shanta Priya"/>
    <x v="2"/>
    <s v="Line Operator"/>
    <x v="2"/>
    <s v="Probation"/>
    <d v="2024-06-08T00:00:00"/>
    <x v="17"/>
    <s v="Female"/>
    <s v="Single"/>
    <s v="B+"/>
    <s v="Gazipura 27"/>
    <s v="1km -3km"/>
    <s v="Active"/>
    <n v="5000"/>
  </r>
  <r>
    <n v="112"/>
    <x v="111"/>
    <s v="Md. Abdul Kader"/>
    <x v="5"/>
    <s v="Line Operator"/>
    <x v="2"/>
    <s v="Probation"/>
    <d v="2024-06-08T00:00:00"/>
    <x v="17"/>
    <s v="Male"/>
    <s v="Single"/>
    <s v="O+"/>
    <s v="Mouchak"/>
    <s v="10-15km"/>
    <s v="Active"/>
    <n v="5000"/>
  </r>
  <r>
    <n v="113"/>
    <x v="112"/>
    <s v="Md. Sagor Hossain"/>
    <x v="2"/>
    <s v="Line Operator"/>
    <x v="2"/>
    <s v="Probation"/>
    <d v="2024-06-08T00:00:00"/>
    <x v="17"/>
    <s v="Male"/>
    <s v="Single"/>
    <s v="O+"/>
    <s v="Gazipura 27"/>
    <s v="1km -3km"/>
    <s v="Active"/>
    <n v="5000"/>
  </r>
  <r>
    <n v="114"/>
    <x v="113"/>
    <s v="Masud Islam Fahim"/>
    <x v="0"/>
    <s v="Line Operator"/>
    <x v="2"/>
    <s v="Probation"/>
    <d v="2024-06-08T00:00:00"/>
    <x v="17"/>
    <s v="Male"/>
    <s v="Single"/>
    <s v="O+"/>
    <s v="Bason"/>
    <s v="5km-10km"/>
    <s v="Active"/>
    <n v="5000"/>
  </r>
  <r>
    <n v="115"/>
    <x v="114"/>
    <s v="Md. Manik Mia"/>
    <x v="2"/>
    <s v="Senior Eecutive"/>
    <x v="2"/>
    <s v="Probation"/>
    <d v="2024-06-08T00:00:00"/>
    <x v="17"/>
    <s v="Male"/>
    <s v="Single"/>
    <s v="A+"/>
    <s v="Gazipur Chowrasta"/>
    <s v="5-10km"/>
    <s v="Active"/>
    <n v="5000"/>
  </r>
  <r>
    <n v="116"/>
    <x v="115"/>
    <s v="Md. Shajibur Rahaman"/>
    <x v="2"/>
    <s v="Executive"/>
    <x v="2"/>
    <s v="Probation"/>
    <d v="2024-06-09T00:00:00"/>
    <x v="18"/>
    <s v="Male"/>
    <s v="Single"/>
    <s v="O+"/>
    <s v="Gazipura 27"/>
    <s v="1km -3km"/>
    <s v="Active"/>
    <n v="5000"/>
  </r>
  <r>
    <n v="117"/>
    <x v="116"/>
    <s v="Limon"/>
    <x v="2"/>
    <s v="Executive"/>
    <x v="2"/>
    <s v="Probation"/>
    <d v="2024-06-09T00:00:00"/>
    <x v="18"/>
    <s v="Male"/>
    <s v="Single"/>
    <s v="B+"/>
    <s v="Gazipura 27"/>
    <s v="1km -3km"/>
    <s v="Active"/>
    <n v="5000"/>
  </r>
  <r>
    <n v="118"/>
    <x v="117"/>
    <s v="Arman Hossen"/>
    <x v="3"/>
    <s v="Executive"/>
    <x v="2"/>
    <s v="Probation"/>
    <d v="2024-06-09T00:00:00"/>
    <x v="18"/>
    <s v="Male"/>
    <s v="Single"/>
    <s v="B+"/>
    <s v="Board Bazar"/>
    <s v="3km-5km"/>
    <s v="Active"/>
    <n v="5000"/>
  </r>
  <r>
    <n v="119"/>
    <x v="118"/>
    <s v="Md. Raju Mia"/>
    <x v="0"/>
    <s v="Executive"/>
    <x v="2"/>
    <s v="Probation"/>
    <d v="2024-06-09T00:00:00"/>
    <x v="18"/>
    <s v="Male"/>
    <s v="Single"/>
    <s v="A+"/>
    <s v="Boro Bari"/>
    <s v="3km-5km"/>
    <s v="Active"/>
    <n v="5000"/>
  </r>
  <r>
    <n v="120"/>
    <x v="119"/>
    <s v="Md. Ammar Hossain"/>
    <x v="0"/>
    <s v="Executive"/>
    <x v="2"/>
    <s v="Probation"/>
    <d v="2024-06-09T00:00:00"/>
    <x v="18"/>
    <s v="Male"/>
    <s v="Single"/>
    <s v="N/A"/>
    <s v="Ershad Nagar"/>
    <s v="1km -3km"/>
    <s v="Active"/>
    <n v="5000"/>
  </r>
  <r>
    <n v="121"/>
    <x v="120"/>
    <s v="Nadim Al Kamal Murad"/>
    <x v="5"/>
    <s v="Assistant Manager"/>
    <x v="2"/>
    <s v="Probation"/>
    <d v="2024-06-09T00:00:00"/>
    <x v="18"/>
    <s v="Male"/>
    <s v="Married"/>
    <s v="B+"/>
    <s v="Airport"/>
    <s v="5-10km"/>
    <s v="Active"/>
    <n v="5000"/>
  </r>
  <r>
    <n v="122"/>
    <x v="121"/>
    <s v="Manik Sharker"/>
    <x v="5"/>
    <s v="Manager"/>
    <x v="2"/>
    <s v="Probation"/>
    <d v="2024-06-09T00:00:00"/>
    <x v="18"/>
    <s v="Male"/>
    <s v="Single"/>
    <s v="B+"/>
    <s v="Gazipur Sadar"/>
    <s v="10-15km"/>
    <s v="Active"/>
    <n v="5000"/>
  </r>
  <r>
    <n v="123"/>
    <x v="122"/>
    <s v="Samiul Hoque"/>
    <x v="0"/>
    <s v="Assistant Leader"/>
    <x v="2"/>
    <s v="Probation"/>
    <d v="2024-06-09T00:00:00"/>
    <x v="18"/>
    <s v="Male"/>
    <s v="Single"/>
    <s v="B+"/>
    <s v="Uttara"/>
    <s v="5-10km"/>
    <s v="Active"/>
    <n v="5000"/>
  </r>
  <r>
    <n v="124"/>
    <x v="123"/>
    <s v="Rashid Mahmud"/>
    <x v="0"/>
    <s v="Line Leader"/>
    <x v="2"/>
    <s v="Probation"/>
    <d v="2024-06-09T00:00:00"/>
    <x v="18"/>
    <s v="Male"/>
    <s v="Single"/>
    <s v="A+"/>
    <s v="Gazipura 27"/>
    <s v="1km -3km"/>
    <s v="Active"/>
    <n v="5000"/>
  </r>
  <r>
    <n v="125"/>
    <x v="124"/>
    <s v="Md. Riad Hasan"/>
    <x v="0"/>
    <s v="Line Operator"/>
    <x v="2"/>
    <s v="Probation"/>
    <d v="2024-06-09T00:00:00"/>
    <x v="18"/>
    <s v="Male"/>
    <s v="Single"/>
    <s v="B+"/>
    <s v="Gazipura 27"/>
    <s v="1km -3km"/>
    <s v="Active"/>
    <n v="5000"/>
  </r>
  <r>
    <n v="126"/>
    <x v="125"/>
    <s v="Md. Junied Mahtav Muin"/>
    <x v="0"/>
    <s v="Line Operator"/>
    <x v="2"/>
    <s v="Probation"/>
    <d v="2024-06-09T00:00:00"/>
    <x v="18"/>
    <s v="Male"/>
    <s v="Single"/>
    <s v="O+"/>
    <s v="Hariken"/>
    <s v="3km-5km"/>
    <s v="Active"/>
    <n v="52542"/>
  </r>
  <r>
    <n v="127"/>
    <x v="126"/>
    <s v="Mst. Muslima"/>
    <x v="3"/>
    <s v="Line Operator"/>
    <x v="2"/>
    <s v="Probation"/>
    <d v="2024-06-09T00:00:00"/>
    <x v="18"/>
    <s v="Female"/>
    <s v="Married"/>
    <s v="O+"/>
    <s v="Ershad Nagar"/>
    <s v="1km -3km"/>
    <s v="Active"/>
    <n v="5000"/>
  </r>
  <r>
    <n v="128"/>
    <x v="127"/>
    <s v="Md. Jahid Hasan Joy"/>
    <x v="2"/>
    <s v="Line Operator"/>
    <x v="2"/>
    <s v="Probation"/>
    <d v="2024-06-09T00:00:00"/>
    <x v="18"/>
    <s v="Male"/>
    <s v="Single"/>
    <s v="A+"/>
    <s v="Ershad Nagar"/>
    <s v="1km -3km"/>
    <s v="Active"/>
    <n v="5000"/>
  </r>
  <r>
    <n v="129"/>
    <x v="128"/>
    <s v="Reduyan Ahmed Ajmir"/>
    <x v="2"/>
    <s v="Line Operator"/>
    <x v="2"/>
    <s v="Probation"/>
    <d v="2024-06-09T00:00:00"/>
    <x v="18"/>
    <s v="Male"/>
    <s v="Single"/>
    <s v="B+"/>
    <s v="Ershad Nagar"/>
    <s v="1km -3km"/>
    <s v="Active"/>
    <n v="5000"/>
  </r>
  <r>
    <n v="130"/>
    <x v="129"/>
    <s v="Md. Sajib Hossain"/>
    <x v="2"/>
    <s v="Line Operator"/>
    <x v="2"/>
    <s v="Probation"/>
    <d v="2024-06-09T00:00:00"/>
    <x v="18"/>
    <s v="Male"/>
    <s v="Single"/>
    <s v="A+"/>
    <s v="Ershad Nagar"/>
    <s v="1km -3km"/>
    <s v="Active"/>
    <n v="5000"/>
  </r>
  <r>
    <n v="131"/>
    <x v="130"/>
    <s v="Rayhan Habib"/>
    <x v="3"/>
    <s v="Line Operator"/>
    <x v="2"/>
    <s v="Probation"/>
    <d v="2024-06-09T00:00:00"/>
    <x v="18"/>
    <s v="Male"/>
    <s v="Married"/>
    <s v="B+"/>
    <s v="Ershad Nagar"/>
    <s v="1km -3km"/>
    <s v="Active"/>
    <n v="5000"/>
  </r>
  <r>
    <n v="132"/>
    <x v="131"/>
    <s v="Md. Al Amin Hossain Shanto"/>
    <x v="2"/>
    <s v="Line Operator"/>
    <x v="2"/>
    <s v="Probation"/>
    <d v="2024-06-09T00:00:00"/>
    <x v="18"/>
    <s v="Male"/>
    <s v="Single"/>
    <s v="N/A"/>
    <s v="Ershad Nagar"/>
    <s v="1km -3km"/>
    <s v="Active"/>
    <n v="5000"/>
  </r>
  <r>
    <n v="133"/>
    <x v="132"/>
    <s v="Mohibul Hasan"/>
    <x v="0"/>
    <s v="Line Operator"/>
    <x v="2"/>
    <s v="Probation"/>
    <d v="2024-06-09T00:00:00"/>
    <x v="18"/>
    <s v="Male"/>
    <s v="Married"/>
    <s v="B+"/>
    <s v="Tongi Bazar"/>
    <s v="5-10km"/>
    <s v="Active"/>
    <n v="5000"/>
  </r>
  <r>
    <n v="134"/>
    <x v="133"/>
    <s v="Md. Farhad Mia"/>
    <x v="2"/>
    <s v="Line Operator"/>
    <x v="2"/>
    <s v="Probation"/>
    <d v="2024-06-09T00:00:00"/>
    <x v="18"/>
    <s v="Male"/>
    <s v="Single"/>
    <s v="B+"/>
    <s v="Ershad Nagar"/>
    <s v="1km -3km"/>
    <s v="Active"/>
    <n v="5000"/>
  </r>
  <r>
    <n v="135"/>
    <x v="134"/>
    <s v="Md. Limon Miah"/>
    <x v="2"/>
    <s v="Line Operator"/>
    <x v="2"/>
    <s v="Probation"/>
    <d v="2024-06-09T00:00:00"/>
    <x v="18"/>
    <s v="Male"/>
    <s v="Single"/>
    <s v="B+"/>
    <s v="Gazipura 27"/>
    <s v="1km -3km"/>
    <s v="Active"/>
    <n v="5000"/>
  </r>
  <r>
    <n v="136"/>
    <x v="135"/>
    <s v="Md. Nazmul Hossain"/>
    <x v="2"/>
    <s v="Line Operator"/>
    <x v="2"/>
    <s v="Probation"/>
    <d v="2024-06-09T00:00:00"/>
    <x v="18"/>
    <s v="Male"/>
    <s v="Single"/>
    <s v="AB+"/>
    <s v="Ershad Nagar"/>
    <s v="1km -3km"/>
    <s v="Active"/>
    <n v="5000"/>
  </r>
  <r>
    <n v="137"/>
    <x v="136"/>
    <s v="Md. Nahidul Islam"/>
    <x v="2"/>
    <s v="Line Operator"/>
    <x v="2"/>
    <s v="Probation"/>
    <d v="2024-06-09T00:00:00"/>
    <x v="18"/>
    <s v="Male"/>
    <s v="Married"/>
    <s v="O+"/>
    <s v="Ershad Nagar"/>
    <s v="1km -3km"/>
    <s v="Active"/>
    <n v="5000"/>
  </r>
  <r>
    <n v="138"/>
    <x v="137"/>
    <s v="Mst. Nowshin Akter"/>
    <x v="0"/>
    <s v="Line Operator"/>
    <x v="2"/>
    <s v="Probation"/>
    <d v="2024-06-09T00:00:00"/>
    <x v="18"/>
    <s v="Female"/>
    <s v="Married"/>
    <s v="AB+"/>
    <s v="Gazipura 27"/>
    <s v="1km -3km"/>
    <s v="Active"/>
    <n v="5000"/>
  </r>
  <r>
    <n v="139"/>
    <x v="138"/>
    <s v="Nowshad Jahan"/>
    <x v="3"/>
    <s v="Line Operator"/>
    <x v="2"/>
    <s v="Probation"/>
    <d v="2024-06-09T00:00:00"/>
    <x v="18"/>
    <s v="Female"/>
    <s v="Single"/>
    <s v="AB+"/>
    <s v="Gazipura 27"/>
    <s v="1km -3km"/>
    <s v="Active"/>
    <n v="5000"/>
  </r>
  <r>
    <n v="140"/>
    <x v="139"/>
    <s v="Khadija Akter Mukta"/>
    <x v="0"/>
    <s v="Line Operator"/>
    <x v="2"/>
    <s v="Probation"/>
    <d v="2024-06-09T00:00:00"/>
    <x v="18"/>
    <s v="Female"/>
    <s v="Married"/>
    <s v="A+"/>
    <s v="Sign board"/>
    <s v="3km-5km"/>
    <s v="Active"/>
    <n v="5000"/>
  </r>
  <r>
    <n v="141"/>
    <x v="140"/>
    <s v="Rafia Sultana Rabu"/>
    <x v="3"/>
    <s v="Line Operator"/>
    <x v="2"/>
    <s v="Probation"/>
    <d v="2024-06-09T00:00:00"/>
    <x v="18"/>
    <s v="Female"/>
    <s v="Single"/>
    <s v="A+"/>
    <s v="Boro Bari"/>
    <s v="3km-5km"/>
    <s v="Active"/>
    <n v="5000"/>
  </r>
  <r>
    <n v="142"/>
    <x v="141"/>
    <s v="Most. Asrifa Jarin"/>
    <x v="3"/>
    <s v="Line Operator"/>
    <x v="2"/>
    <s v="Probation"/>
    <d v="2024-06-09T00:00:00"/>
    <x v="18"/>
    <s v="Female"/>
    <s v="Single"/>
    <s v="AB+"/>
    <s v="Board Bazar"/>
    <s v="3km-5km"/>
    <s v="Active"/>
    <n v="5000"/>
  </r>
  <r>
    <n v="143"/>
    <x v="142"/>
    <s v="Sumaya Akter Suma"/>
    <x v="3"/>
    <s v="Line Operator"/>
    <x v="2"/>
    <s v="Probation"/>
    <d v="2024-06-09T00:00:00"/>
    <x v="18"/>
    <s v="Female"/>
    <s v="Single"/>
    <s v="O+"/>
    <s v="Board Bazar"/>
    <s v="3km-5km"/>
    <s v="Active"/>
    <n v="5000"/>
  </r>
  <r>
    <n v="144"/>
    <x v="143"/>
    <s v="Mst. Lucky Khatun"/>
    <x v="3"/>
    <s v="Line Operator"/>
    <x v="2"/>
    <s v="Probation"/>
    <d v="2024-06-09T00:00:00"/>
    <x v="18"/>
    <s v="Female"/>
    <s v="Single"/>
    <s v="A+"/>
    <s v="Gazipura 27"/>
    <s v="1km -3km"/>
    <s v="Active"/>
    <n v="5000"/>
  </r>
  <r>
    <n v="145"/>
    <x v="144"/>
    <s v="Fardus Ahmed"/>
    <x v="0"/>
    <s v="Line Operator"/>
    <x v="2"/>
    <s v="Probation"/>
    <d v="2024-06-09T00:00:00"/>
    <x v="18"/>
    <s v="Male"/>
    <s v="Single"/>
    <s v="O+"/>
    <s v="Gazipura 27"/>
    <s v="1km -3km"/>
    <s v="Active"/>
    <n v="5000"/>
  </r>
  <r>
    <n v="146"/>
    <x v="145"/>
    <s v="Md. Alamin"/>
    <x v="2"/>
    <s v="Line Operator"/>
    <x v="2"/>
    <s v="Probation"/>
    <d v="2024-06-09T00:00:00"/>
    <x v="18"/>
    <s v="Male"/>
    <s v="Single"/>
    <s v="AB+"/>
    <s v="Gazipura 27"/>
    <s v="1km -3km"/>
    <s v="Active"/>
    <n v="5000"/>
  </r>
  <r>
    <n v="147"/>
    <x v="146"/>
    <s v="Md. Nosib Uddin"/>
    <x v="2"/>
    <s v="Line Operator"/>
    <x v="2"/>
    <s v="Probation"/>
    <d v="2024-06-09T00:00:00"/>
    <x v="18"/>
    <s v="Male"/>
    <s v="Single"/>
    <s v="B+"/>
    <s v="Gazipura 27"/>
    <s v="1km -3km"/>
    <s v="Active"/>
    <n v="5000"/>
  </r>
  <r>
    <n v="148"/>
    <x v="147"/>
    <s v="Md. Mostafizur Rahman"/>
    <x v="2"/>
    <s v="Line Operator"/>
    <x v="2"/>
    <s v="Probation"/>
    <d v="2024-06-09T00:00:00"/>
    <x v="18"/>
    <s v="Male"/>
    <s v="Single"/>
    <s v="A+"/>
    <s v="Gazipura 27"/>
    <s v="1km -3km"/>
    <s v="Active"/>
    <n v="5000"/>
  </r>
  <r>
    <n v="149"/>
    <x v="148"/>
    <s v="Md. Habibur Rahman Habib"/>
    <x v="3"/>
    <s v="Line Operator"/>
    <x v="2"/>
    <s v="Probation"/>
    <d v="2024-06-09T00:00:00"/>
    <x v="18"/>
    <s v="Male"/>
    <s v="Single"/>
    <s v="O+"/>
    <s v="Gazipura 27"/>
    <s v="1km -3km"/>
    <s v="Active"/>
    <n v="5000"/>
  </r>
  <r>
    <n v="150"/>
    <x v="149"/>
    <s v="Asif Khan Jihad"/>
    <x v="0"/>
    <s v="Line Operator"/>
    <x v="2"/>
    <s v="Probation"/>
    <d v="2024-06-09T00:00:00"/>
    <x v="18"/>
    <s v="Male"/>
    <s v="Single"/>
    <s v="O+"/>
    <s v="Board Bazar"/>
    <s v="3km-5km"/>
    <s v="Active"/>
    <n v="5000"/>
  </r>
  <r>
    <n v="151"/>
    <x v="150"/>
    <s v="Md. Rasel Mia"/>
    <x v="5"/>
    <s v="Line Operator"/>
    <x v="2"/>
    <s v="Probation"/>
    <d v="2024-06-09T00:00:00"/>
    <x v="18"/>
    <s v="Male"/>
    <s v="Single"/>
    <s v="A+"/>
    <s v="Boro Bari"/>
    <s v="3km-5km"/>
    <s v="Active"/>
    <n v="5000"/>
  </r>
  <r>
    <n v="152"/>
    <x v="151"/>
    <s v="Apu Kumar Shaha"/>
    <x v="5"/>
    <s v="Line Operator"/>
    <x v="2"/>
    <s v="Probation"/>
    <d v="2024-06-09T00:00:00"/>
    <x v="18"/>
    <s v="Male"/>
    <s v="Single"/>
    <s v="B+"/>
    <s v="Gazipura 27"/>
    <s v="1km -3km"/>
    <s v="Active"/>
    <n v="5000"/>
  </r>
  <r>
    <n v="153"/>
    <x v="152"/>
    <s v="Ashraful Islam"/>
    <x v="5"/>
    <s v="Line Operator"/>
    <x v="2"/>
    <s v="Probation"/>
    <d v="2024-06-09T00:00:00"/>
    <x v="18"/>
    <s v="Male"/>
    <s v="Single"/>
    <s v="O+"/>
    <s v="Gazipura 27"/>
    <s v="1km -3km"/>
    <s v="Active"/>
    <n v="5000"/>
  </r>
  <r>
    <n v="154"/>
    <x v="153"/>
    <s v="Md. Abdul Matin"/>
    <x v="5"/>
    <s v="Line Leader"/>
    <x v="2"/>
    <s v="Probation"/>
    <d v="2024-06-09T00:00:00"/>
    <x v="18"/>
    <s v="Male"/>
    <s v="Single"/>
    <s v="A+"/>
    <s v="Gazipura 27"/>
    <s v="1km -3km"/>
    <s v="Active"/>
    <n v="5000"/>
  </r>
  <r>
    <n v="155"/>
    <x v="154"/>
    <s v="Samia Akter"/>
    <x v="3"/>
    <s v="Line Operator"/>
    <x v="2"/>
    <s v="Probation"/>
    <d v="2024-06-09T00:00:00"/>
    <x v="18"/>
    <s v="Female"/>
    <s v="Single"/>
    <s v="A+"/>
    <s v="Board Bazar"/>
    <s v="3km-5km"/>
    <s v="Active"/>
    <n v="5000"/>
  </r>
  <r>
    <n v="156"/>
    <x v="155"/>
    <s v="Md. Jahid Hossain Mamun"/>
    <x v="3"/>
    <s v="Line Operator"/>
    <x v="2"/>
    <s v="Probation"/>
    <d v="2024-06-09T00:00:00"/>
    <x v="18"/>
    <s v="Male"/>
    <s v="Married"/>
    <s v="AB+"/>
    <s v="Board Bazar"/>
    <s v="3km-5km"/>
    <s v="Active"/>
    <n v="5000"/>
  </r>
  <r>
    <n v="157"/>
    <x v="156"/>
    <s v="Elias Hossain"/>
    <x v="2"/>
    <s v="Line Operator"/>
    <x v="2"/>
    <s v="Probation"/>
    <d v="2024-06-09T00:00:00"/>
    <x v="18"/>
    <s v="Male"/>
    <s v="Married"/>
    <s v="B+"/>
    <s v="Gazipura 27"/>
    <s v="1km -3km"/>
    <s v="Active"/>
    <n v="5000"/>
  </r>
  <r>
    <n v="158"/>
    <x v="157"/>
    <s v="Md. Shohan Mia"/>
    <x v="2"/>
    <s v="Line Operator"/>
    <x v="2"/>
    <s v="Probation"/>
    <d v="2024-06-09T00:00:00"/>
    <x v="18"/>
    <s v="Male"/>
    <s v="Single"/>
    <s v="B+"/>
    <s v="Gazipura 27"/>
    <s v="1km -3km"/>
    <s v="Active"/>
    <n v="5000"/>
  </r>
  <r>
    <n v="159"/>
    <x v="158"/>
    <s v="Md. Shahariyer Hasan Fahim Khondoker"/>
    <x v="2"/>
    <s v="Line Operator"/>
    <x v="2"/>
    <s v="Probation"/>
    <d v="2024-06-09T00:00:00"/>
    <x v="18"/>
    <s v="Male"/>
    <s v="Single"/>
    <s v="A+"/>
    <s v="Gazipur Chowrasta"/>
    <s v="5-10km"/>
    <s v="Active"/>
    <n v="5000"/>
  </r>
  <r>
    <n v="160"/>
    <x v="159"/>
    <s v="Abu Hanif Sarker"/>
    <x v="3"/>
    <s v="Line Operator"/>
    <x v="2"/>
    <s v="Probation"/>
    <d v="2024-06-10T00:00:00"/>
    <x v="19"/>
    <s v="Male"/>
    <s v="Single"/>
    <s v="B+"/>
    <s v="Gazipur Chowrasta"/>
    <s v="5-10km"/>
    <s v="Active"/>
    <n v="5000"/>
  </r>
  <r>
    <n v="161"/>
    <x v="160"/>
    <s v="Monirul Islam"/>
    <x v="2"/>
    <s v="Line Operator"/>
    <x v="2"/>
    <s v="Probation"/>
    <d v="2024-06-10T00:00:00"/>
    <x v="19"/>
    <s v="Male"/>
    <s v="Single"/>
    <s v="B+"/>
    <s v="Gazipura 27"/>
    <s v="1km -3km"/>
    <s v="Active"/>
    <n v="5000"/>
  </r>
  <r>
    <n v="162"/>
    <x v="161"/>
    <s v="Nadim Hossain"/>
    <x v="0"/>
    <s v="Line Operator"/>
    <x v="2"/>
    <s v="Probation"/>
    <d v="2024-06-10T00:00:00"/>
    <x v="19"/>
    <s v="Male"/>
    <s v="Single"/>
    <s v="B+"/>
    <s v="Gacha"/>
    <s v="3km-5km"/>
    <s v="Active"/>
    <n v="5000"/>
  </r>
  <r>
    <n v="163"/>
    <x v="162"/>
    <s v="Tarikul Islam"/>
    <x v="0"/>
    <s v="Line Operator"/>
    <x v="2"/>
    <s v="Probation"/>
    <d v="2024-06-10T00:00:00"/>
    <x v="19"/>
    <s v="Male"/>
    <s v="Single"/>
    <s v="O+"/>
    <s v="Bason"/>
    <s v="5km-10km"/>
    <s v="Active"/>
    <n v="5000"/>
  </r>
  <r>
    <n v="164"/>
    <x v="163"/>
    <s v="Ismail Jofiullah"/>
    <x v="0"/>
    <s v="Line Operator"/>
    <x v="2"/>
    <s v="Probation"/>
    <d v="2024-06-10T00:00:00"/>
    <x v="19"/>
    <s v="Male"/>
    <s v="Single"/>
    <s v="N/A"/>
    <s v="Gazipura 27"/>
    <s v="1km -3km"/>
    <s v="Active"/>
    <n v="5000"/>
  </r>
  <r>
    <n v="165"/>
    <x v="164"/>
    <s v="Md. Shahparan Hossen"/>
    <x v="2"/>
    <s v="Line Operator"/>
    <x v="2"/>
    <s v="Probation"/>
    <d v="2024-06-10T00:00:00"/>
    <x v="19"/>
    <s v="Male"/>
    <s v="Married"/>
    <s v="B-"/>
    <s v="Gazipura 27"/>
    <s v="1km -3km"/>
    <s v="Active"/>
    <n v="5000"/>
  </r>
  <r>
    <n v="166"/>
    <x v="165"/>
    <s v="Khadiza Khatun"/>
    <x v="2"/>
    <s v="Line Operator"/>
    <x v="2"/>
    <s v="Probation"/>
    <d v="2024-06-10T00:00:00"/>
    <x v="19"/>
    <s v="Female"/>
    <s v="Married"/>
    <s v="A-"/>
    <s v="Gazipura 27"/>
    <s v="1km -3km"/>
    <s v="Active"/>
    <n v="5000"/>
  </r>
  <r>
    <n v="167"/>
    <x v="166"/>
    <s v="Sultana Razia"/>
    <x v="0"/>
    <s v="Line Operator"/>
    <x v="2"/>
    <s v="Probation"/>
    <d v="2024-06-10T00:00:00"/>
    <x v="19"/>
    <s v="Female"/>
    <s v="Single"/>
    <s v="A+"/>
    <s v="Gacha"/>
    <s v="3km-5km"/>
    <s v="Active"/>
    <n v="5000"/>
  </r>
  <r>
    <n v="168"/>
    <x v="167"/>
    <s v="Kamrun Nahar Dipti"/>
    <x v="0"/>
    <s v="Line Operator"/>
    <x v="2"/>
    <s v="Probation"/>
    <d v="2024-06-10T00:00:00"/>
    <x v="19"/>
    <s v="Female"/>
    <s v="Single"/>
    <s v="A+"/>
    <s v="Board Bazar"/>
    <s v="3km-5km"/>
    <s v="Active"/>
    <n v="5000"/>
  </r>
  <r>
    <n v="169"/>
    <x v="168"/>
    <s v="Jafrina Alam Jannat"/>
    <x v="3"/>
    <s v="Line Operator"/>
    <x v="2"/>
    <s v="Probation"/>
    <d v="2024-06-10T00:00:00"/>
    <x v="19"/>
    <s v="Female"/>
    <s v="Single"/>
    <s v="O+"/>
    <s v="Ershad Nagar"/>
    <s v="1km -3km"/>
    <s v="Active"/>
    <n v="5000"/>
  </r>
  <r>
    <n v="170"/>
    <x v="169"/>
    <s v="Tania Akter"/>
    <x v="2"/>
    <s v="Line Operator"/>
    <x v="2"/>
    <s v="Probation"/>
    <d v="2024-06-10T00:00:00"/>
    <x v="19"/>
    <s v="Female"/>
    <s v="Single"/>
    <s v="O+"/>
    <s v="Board Bazar"/>
    <s v="3km-5km"/>
    <s v="Active"/>
    <n v="5000"/>
  </r>
  <r>
    <n v="171"/>
    <x v="170"/>
    <s v="Razia"/>
    <x v="2"/>
    <s v="Line Operator"/>
    <x v="2"/>
    <s v="Probation"/>
    <d v="2024-06-10T00:00:00"/>
    <x v="19"/>
    <s v="Female"/>
    <s v="Single"/>
    <s v="O+"/>
    <s v="Ershad Nagar"/>
    <s v="1km -3km"/>
    <s v="Active"/>
    <n v="5000"/>
  </r>
  <r>
    <n v="172"/>
    <x v="171"/>
    <s v="Shamir Das"/>
    <x v="5"/>
    <s v="Line Operator"/>
    <x v="2"/>
    <s v="Probation"/>
    <d v="2024-06-10T00:00:00"/>
    <x v="19"/>
    <s v="Male"/>
    <s v="Single"/>
    <s v="O+"/>
    <s v="Gazipura 27"/>
    <s v="1km -3km"/>
    <s v="Active"/>
    <n v="5000"/>
  </r>
  <r>
    <n v="173"/>
    <x v="172"/>
    <s v="Nurul Islam"/>
    <x v="0"/>
    <s v="Line Operator"/>
    <x v="2"/>
    <s v="Probation"/>
    <d v="2024-06-10T00:00:00"/>
    <x v="19"/>
    <s v="Male"/>
    <s v="Single"/>
    <s v="A+"/>
    <s v="Board Bazar"/>
    <s v="3km-5km"/>
    <s v="Active"/>
    <n v="5000"/>
  </r>
  <r>
    <n v="174"/>
    <x v="173"/>
    <s v="Murshida Khatun"/>
    <x v="2"/>
    <s v="Line Operator"/>
    <x v="2"/>
    <s v="Probation"/>
    <d v="2024-06-10T00:00:00"/>
    <x v="19"/>
    <s v="Female"/>
    <s v="Married"/>
    <s v="B+"/>
    <s v="Gazipura 27"/>
    <s v="1km -3km"/>
    <s v="Active"/>
    <n v="5000"/>
  </r>
  <r>
    <n v="175"/>
    <x v="174"/>
    <s v="Nilufa Akter Lily"/>
    <x v="2"/>
    <s v="Line Operator"/>
    <x v="2"/>
    <s v="Probation"/>
    <d v="2024-06-10T00:00:00"/>
    <x v="19"/>
    <s v="Female"/>
    <s v="Single"/>
    <s v="B+"/>
    <s v="Hossen Market"/>
    <s v="1km -3km"/>
    <s v="Active"/>
    <n v="5000"/>
  </r>
  <r>
    <n v="176"/>
    <x v="175"/>
    <s v="Modina Chowdhury"/>
    <x v="3"/>
    <s v="Line Operator"/>
    <x v="2"/>
    <s v="Probation"/>
    <d v="2024-06-11T00:00:00"/>
    <x v="20"/>
    <s v="Female"/>
    <s v="Married"/>
    <s v="N/A"/>
    <s v="Vogra Baypass"/>
    <s v="5-10km"/>
    <s v="Active"/>
    <n v="5000"/>
  </r>
  <r>
    <n v="177"/>
    <x v="176"/>
    <s v="Md. Ali Al Nur Mahi"/>
    <x v="3"/>
    <s v="Line Operator"/>
    <x v="2"/>
    <s v="Probation"/>
    <d v="2024-06-11T00:00:00"/>
    <x v="20"/>
    <s v="Male"/>
    <s v="Single"/>
    <s v="B+"/>
    <s v="Board Bazar"/>
    <s v="3km-5km"/>
    <s v="Active"/>
    <n v="5000"/>
  </r>
  <r>
    <n v="178"/>
    <x v="177"/>
    <s v="Md. Mehedi Hassan"/>
    <x v="0"/>
    <s v="Line Operator"/>
    <x v="2"/>
    <s v="Probation"/>
    <d v="2024-06-11T00:00:00"/>
    <x v="20"/>
    <s v="Male"/>
    <s v="Single"/>
    <s v="B+"/>
    <s v="Ershad Nagar"/>
    <s v="1km -3km"/>
    <s v="Active"/>
    <n v="5000"/>
  </r>
  <r>
    <n v="179"/>
    <x v="178"/>
    <s v="Hasnat Shah Emon"/>
    <x v="0"/>
    <s v="Line Operator"/>
    <x v="2"/>
    <s v="Probation"/>
    <d v="2024-06-11T00:00:00"/>
    <x v="20"/>
    <s v="Male"/>
    <s v="Single"/>
    <s v="A+"/>
    <s v="Gazipura 27"/>
    <s v="1km -3km"/>
    <s v="Active"/>
    <n v="5000"/>
  </r>
  <r>
    <n v="180"/>
    <x v="179"/>
    <s v="Al Amin"/>
    <x v="2"/>
    <s v="Assistant Leader"/>
    <x v="2"/>
    <s v="Probation"/>
    <d v="2024-06-11T00:00:00"/>
    <x v="20"/>
    <s v="Male"/>
    <s v="Single"/>
    <s v="A+"/>
    <s v="Gazipura 27"/>
    <s v="1km -3km"/>
    <s v="Active"/>
    <n v="5000"/>
  </r>
  <r>
    <n v="181"/>
    <x v="180"/>
    <s v="Md. Borhan Miah"/>
    <x v="2"/>
    <s v="Line Operator"/>
    <x v="2"/>
    <s v="Probation"/>
    <d v="2024-06-11T00:00:00"/>
    <x v="20"/>
    <s v="Male"/>
    <s v="Single"/>
    <s v="B+"/>
    <s v="Gazipura 27"/>
    <s v="1km -3km"/>
    <s v="Active"/>
    <n v="5000"/>
  </r>
  <r>
    <n v="182"/>
    <x v="181"/>
    <s v="Rasidul Islam"/>
    <x v="5"/>
    <s v="Executive"/>
    <x v="1"/>
    <s v="Probation"/>
    <d v="2024-06-14T00:00:00"/>
    <x v="21"/>
    <s v="Male"/>
    <s v="Married"/>
    <s v="A+"/>
    <s v="Gazipura 27"/>
    <s v="1km -3km"/>
    <s v="Active"/>
    <n v="5000"/>
  </r>
  <r>
    <n v="183"/>
    <x v="182"/>
    <s v="Most. Tania Sultana"/>
    <x v="2"/>
    <s v="Line Operator"/>
    <x v="2"/>
    <s v="Probation"/>
    <d v="2024-06-14T00:00:00"/>
    <x v="21"/>
    <s v="Female"/>
    <s v="Single"/>
    <s v="A+"/>
    <s v="Gazipura 27"/>
    <s v="1km -3km"/>
    <s v="Active"/>
    <n v="5000"/>
  </r>
  <r>
    <n v="184"/>
    <x v="183"/>
    <s v="Khadiza Akter"/>
    <x v="3"/>
    <s v="Line Operator"/>
    <x v="2"/>
    <s v="Probation"/>
    <d v="2024-06-14T00:00:00"/>
    <x v="21"/>
    <s v="Female"/>
    <s v="Single"/>
    <s v="A+"/>
    <s v="Gazipura 27"/>
    <s v="1km -3km"/>
    <s v="Active"/>
    <n v="5000"/>
  </r>
  <r>
    <n v="185"/>
    <x v="184"/>
    <s v="Amina Akter"/>
    <x v="2"/>
    <s v="Line Operator"/>
    <x v="2"/>
    <s v="Probation"/>
    <d v="2024-06-14T00:00:00"/>
    <x v="21"/>
    <s v="Female"/>
    <s v="Single"/>
    <s v="A+"/>
    <s v="Gazipura 27"/>
    <s v="1km -3km"/>
    <s v="Active"/>
    <n v="5000"/>
  </r>
  <r>
    <n v="186"/>
    <x v="185"/>
    <s v="Md. Nazmul Hossain"/>
    <x v="3"/>
    <s v="Line Operator"/>
    <x v="2"/>
    <s v="Probation"/>
    <d v="2024-06-14T00:00:00"/>
    <x v="21"/>
    <s v="Male"/>
    <s v="Single"/>
    <s v="O+"/>
    <s v="Ershad Nagar"/>
    <s v="1km -3km"/>
    <s v="Active"/>
    <n v="5000"/>
  </r>
  <r>
    <n v="187"/>
    <x v="186"/>
    <s v="Sagar Raha"/>
    <x v="3"/>
    <s v="Line Leader"/>
    <x v="2"/>
    <s v="Probation"/>
    <d v="2024-06-14T00:00:00"/>
    <x v="21"/>
    <s v="Male"/>
    <s v="Single"/>
    <s v="O+"/>
    <s v="Gazipur Chowrasta"/>
    <s v="5-10km"/>
    <s v="Active"/>
    <n v="5000"/>
  </r>
  <r>
    <n v="188"/>
    <x v="187"/>
    <s v="Md. Shamim Hossain"/>
    <x v="0"/>
    <s v="Line Operator"/>
    <x v="2"/>
    <s v="Probation"/>
    <d v="2024-06-14T00:00:00"/>
    <x v="21"/>
    <s v="Male"/>
    <s v="Single"/>
    <s v="B+"/>
    <s v="Gazipura 27"/>
    <s v="1km -3km"/>
    <s v="Active"/>
    <n v="5000"/>
  </r>
  <r>
    <n v="189"/>
    <x v="188"/>
    <s v="Md. Rofiqul Islam Khan"/>
    <x v="0"/>
    <s v="Line Operator"/>
    <x v="2"/>
    <s v="Probation"/>
    <d v="2024-06-14T00:00:00"/>
    <x v="21"/>
    <s v="Male"/>
    <s v="Single"/>
    <s v="B+"/>
    <s v="Board Bazar"/>
    <s v="3km-5km"/>
    <s v="Active"/>
    <n v="5000"/>
  </r>
  <r>
    <n v="190"/>
    <x v="189"/>
    <s v="Sifat Ullah Chowdury"/>
    <x v="2"/>
    <s v="Line Operator"/>
    <x v="2"/>
    <s v="Probation"/>
    <d v="2024-06-14T00:00:00"/>
    <x v="21"/>
    <s v="Male"/>
    <s v="Single"/>
    <s v="O+"/>
    <s v="Gazipura 27"/>
    <s v="1km -3km"/>
    <s v="Active"/>
    <n v="5000"/>
  </r>
  <r>
    <n v="191"/>
    <x v="190"/>
    <s v="Mamun Mia"/>
    <x v="2"/>
    <s v="Line Operator"/>
    <x v="2"/>
    <s v="Probation"/>
    <d v="2024-06-14T00:00:00"/>
    <x v="21"/>
    <s v="Male"/>
    <s v="Single"/>
    <s v="O+"/>
    <s v="Gazipura 27"/>
    <s v="1km -3km"/>
    <s v="Active"/>
    <n v="5000"/>
  </r>
  <r>
    <n v="192"/>
    <x v="191"/>
    <s v="Md. Rasel Sikdar"/>
    <x v="5"/>
    <s v="Line Leader"/>
    <x v="2"/>
    <s v="Probation"/>
    <d v="2024-06-14T00:00:00"/>
    <x v="21"/>
    <s v="Male"/>
    <s v="Single"/>
    <s v="A+"/>
    <s v="Gazipura 27"/>
    <s v="1km -3km"/>
    <s v="Active"/>
    <n v="5000"/>
  </r>
  <r>
    <n v="193"/>
    <x v="192"/>
    <s v="Gulshan Negar Khan Tumpa"/>
    <x v="2"/>
    <s v="Line Operator"/>
    <x v="2"/>
    <s v="Probation"/>
    <d v="2024-06-14T00:00:00"/>
    <x v="21"/>
    <s v="Female"/>
    <s v="Single"/>
    <s v="O+"/>
    <s v="Board Bazar"/>
    <s v="3km-5km"/>
    <s v="Active"/>
    <n v="5000"/>
  </r>
  <r>
    <n v="194"/>
    <x v="193"/>
    <s v="Aysha Akter"/>
    <x v="3"/>
    <s v="Line Operator"/>
    <x v="2"/>
    <s v="Probation"/>
    <d v="2024-06-14T00:00:00"/>
    <x v="21"/>
    <s v="Female"/>
    <s v="Single"/>
    <s v="B+"/>
    <s v="Gazipur Chowrasta"/>
    <s v="5-10km"/>
    <s v="Active"/>
    <n v="5000"/>
  </r>
  <r>
    <n v="195"/>
    <x v="194"/>
    <s v="Mosammad Shamsunnahar"/>
    <x v="2"/>
    <s v="Line Operator"/>
    <x v="2"/>
    <s v="Probation"/>
    <d v="2024-06-14T00:00:00"/>
    <x v="21"/>
    <s v="Female"/>
    <s v="Single"/>
    <s v="A+"/>
    <s v="Board Bazar"/>
    <s v="3km-5km"/>
    <s v="Active"/>
    <n v="5000"/>
  </r>
  <r>
    <n v="196"/>
    <x v="195"/>
    <s v="Jannatul Ferdusy Keya"/>
    <x v="2"/>
    <s v="Line Operator"/>
    <x v="2"/>
    <s v="Probation"/>
    <d v="2024-06-14T00:00:00"/>
    <x v="21"/>
    <s v="Female"/>
    <s v="Single"/>
    <s v="B+"/>
    <s v="Gazipura 27"/>
    <s v="1km -3km"/>
    <s v="Active"/>
    <n v="5000"/>
  </r>
  <r>
    <n v="197"/>
    <x v="196"/>
    <s v="Fatama Akter Mitu"/>
    <x v="2"/>
    <s v="Line Operator"/>
    <x v="2"/>
    <s v="Probation"/>
    <d v="2024-06-14T00:00:00"/>
    <x v="21"/>
    <s v="Female"/>
    <s v="Single"/>
    <s v="A+"/>
    <s v="Gazipura 27"/>
    <s v="1km -3km"/>
    <s v="Active"/>
    <n v="5000"/>
  </r>
  <r>
    <n v="198"/>
    <x v="197"/>
    <s v="Mst. Rupali Akter"/>
    <x v="0"/>
    <s v="Line Operator"/>
    <x v="2"/>
    <s v="Probation"/>
    <d v="2024-06-14T00:00:00"/>
    <x v="21"/>
    <s v="Female"/>
    <s v="Single"/>
    <s v="B+"/>
    <s v="Board Bazar"/>
    <s v="3km-5km"/>
    <s v="Active"/>
    <n v="5000"/>
  </r>
  <r>
    <n v="199"/>
    <x v="198"/>
    <s v="Monira Akter"/>
    <x v="3"/>
    <s v="Line Operator"/>
    <x v="2"/>
    <s v="Probation"/>
    <d v="2024-06-14T00:00:00"/>
    <x v="21"/>
    <s v="Female"/>
    <s v="Single"/>
    <s v="B+"/>
    <s v="Board Bazar"/>
    <s v="3km-5km"/>
    <s v="Active"/>
    <n v="5000"/>
  </r>
  <r>
    <n v="200"/>
    <x v="199"/>
    <s v="Shawon Kabir Hira"/>
    <x v="3"/>
    <s v="Line Operator"/>
    <x v="2"/>
    <s v="Probation"/>
    <d v="2024-06-14T00:00:00"/>
    <x v="21"/>
    <s v="Male"/>
    <s v="Single"/>
    <s v="N/A"/>
    <s v="Ershad Nagar"/>
    <s v="1km -3km"/>
    <s v="Active"/>
    <n v="5000"/>
  </r>
  <r>
    <n v="201"/>
    <x v="200"/>
    <s v="Md. Raihanul Haque"/>
    <x v="2"/>
    <s v="Line Operator"/>
    <x v="2"/>
    <s v="Probation"/>
    <d v="2024-06-14T00:00:00"/>
    <x v="21"/>
    <s v="Male"/>
    <s v="Single"/>
    <s v="O+"/>
    <s v="Board Bazar"/>
    <s v="3km-5km"/>
    <s v="Active"/>
    <n v="5000"/>
  </r>
  <r>
    <n v="202"/>
    <x v="201"/>
    <s v="Swapna Akter Runa"/>
    <x v="5"/>
    <s v="Line Operator"/>
    <x v="2"/>
    <s v="Probation"/>
    <d v="2024-06-14T00:00:00"/>
    <x v="21"/>
    <s v="Female"/>
    <s v="Single"/>
    <s v="AB+"/>
    <s v="Vogra Baypass"/>
    <s v="5-10km"/>
    <s v="Active"/>
    <n v="5000"/>
  </r>
  <r>
    <n v="203"/>
    <x v="202"/>
    <s v="Mst. Liza Moni"/>
    <x v="2"/>
    <s v="Line Operator"/>
    <x v="2"/>
    <s v="Probation"/>
    <d v="2024-06-14T00:00:00"/>
    <x v="21"/>
    <s v="Female"/>
    <s v="Single"/>
    <s v="O+"/>
    <s v="Board Bazar"/>
    <s v="3km-5km"/>
    <s v="Active"/>
    <n v="5000"/>
  </r>
  <r>
    <n v="204"/>
    <x v="203"/>
    <s v="Sathia Akter"/>
    <x v="3"/>
    <s v="Line Operator"/>
    <x v="2"/>
    <s v="Probation"/>
    <d v="2024-06-14T00:00:00"/>
    <x v="21"/>
    <s v="Female"/>
    <s v="Single"/>
    <s v="A+"/>
    <s v="Gazipura 27"/>
    <s v="1km -3km"/>
    <s v="Active"/>
    <n v="5000"/>
  </r>
  <r>
    <n v="205"/>
    <x v="204"/>
    <s v="Sumaya Shemu"/>
    <x v="3"/>
    <s v="Line Operator"/>
    <x v="2"/>
    <s v="Probation"/>
    <d v="2024-06-14T00:00:00"/>
    <x v="21"/>
    <s v="Female"/>
    <s v="Married"/>
    <s v="A+"/>
    <s v="Gazipura 27"/>
    <s v="1km -3km"/>
    <s v="Active"/>
    <n v="5000"/>
  </r>
  <r>
    <n v="206"/>
    <x v="205"/>
    <s v="Aktarina Khatun"/>
    <x v="3"/>
    <s v="Line Operator"/>
    <x v="2"/>
    <s v="Probation"/>
    <d v="2024-06-14T00:00:00"/>
    <x v="21"/>
    <s v="Female"/>
    <s v="Single"/>
    <s v="O+"/>
    <s v="Gazipura 27"/>
    <s v="1km -3km"/>
    <s v="Active"/>
    <n v="5000"/>
  </r>
  <r>
    <n v="207"/>
    <x v="206"/>
    <s v="Simanto Roy"/>
    <x v="3"/>
    <s v="Line Operator"/>
    <x v="2"/>
    <s v="Probation"/>
    <d v="2024-06-14T00:00:00"/>
    <x v="21"/>
    <s v="Male"/>
    <s v="Single"/>
    <s v="B+"/>
    <s v="Gazipura 27"/>
    <s v="1km -3km"/>
    <s v="Active"/>
    <n v="5000"/>
  </r>
  <r>
    <n v="208"/>
    <x v="207"/>
    <s v="Atikur Rahman"/>
    <x v="3"/>
    <s v="Line Leader"/>
    <x v="2"/>
    <s v="Probation"/>
    <d v="2024-06-15T00:00:00"/>
    <x v="22"/>
    <s v="Male"/>
    <s v="Single"/>
    <s v="B+"/>
    <s v="Gazipura 27"/>
    <s v="1km -3km"/>
    <s v="Active"/>
    <n v="5000"/>
  </r>
  <r>
    <n v="209"/>
    <x v="208"/>
    <s v="Tahmina Akter"/>
    <x v="3"/>
    <s v="Line Operator"/>
    <x v="2"/>
    <s v="Probation"/>
    <d v="2024-06-15T00:00:00"/>
    <x v="22"/>
    <s v="Female"/>
    <s v="Single"/>
    <s v="A+"/>
    <s v="Gazipura 27"/>
    <s v="1km -3km"/>
    <s v="Active"/>
    <n v="5000"/>
  </r>
  <r>
    <n v="210"/>
    <x v="209"/>
    <s v="Tahia Akther Dina"/>
    <x v="2"/>
    <s v="Line Operator"/>
    <x v="2"/>
    <s v="Probation"/>
    <d v="2024-06-15T00:00:00"/>
    <x v="22"/>
    <s v="Female"/>
    <s v="Single"/>
    <s v="B+"/>
    <s v="Boro Bari"/>
    <s v="3km-5km"/>
    <s v="Active"/>
    <n v="5000"/>
  </r>
  <r>
    <n v="211"/>
    <x v="210"/>
    <s v="Shabnur Akter"/>
    <x v="0"/>
    <s v="Line Operator"/>
    <x v="2"/>
    <s v="Probation"/>
    <d v="2024-06-15T00:00:00"/>
    <x v="22"/>
    <s v="Female"/>
    <s v="Single"/>
    <s v="O+"/>
    <s v="Board Bazar"/>
    <s v="3km-5km"/>
    <s v="Active"/>
    <n v="5000"/>
  </r>
  <r>
    <n v="212"/>
    <x v="211"/>
    <s v="Prity Rani sarker"/>
    <x v="3"/>
    <s v="Line Operator"/>
    <x v="2"/>
    <s v="Probation"/>
    <d v="2024-06-15T00:00:00"/>
    <x v="22"/>
    <s v="Female"/>
    <s v="Single"/>
    <s v="B+"/>
    <s v="Gazipur Sadar"/>
    <s v="10-15km"/>
    <s v="Active"/>
    <n v="5000"/>
  </r>
  <r>
    <n v="213"/>
    <x v="212"/>
    <s v="Mursheda"/>
    <x v="2"/>
    <s v="Line Operator"/>
    <x v="2"/>
    <s v="Probation"/>
    <d v="2024-06-15T00:00:00"/>
    <x v="22"/>
    <s v="Female"/>
    <s v="Married"/>
    <s v="A+"/>
    <s v="Gazipura 27"/>
    <s v="1km -3km"/>
    <s v="Active"/>
    <n v="5000"/>
  </r>
  <r>
    <n v="214"/>
    <x v="213"/>
    <s v="Zakia akter Jui"/>
    <x v="0"/>
    <s v="Line Operator"/>
    <x v="2"/>
    <s v="Probation"/>
    <d v="2024-06-15T00:00:00"/>
    <x v="22"/>
    <s v="Female"/>
    <s v="Single"/>
    <s v="A+"/>
    <s v="Gazipura 27"/>
    <s v="1km -3km"/>
    <s v="Active"/>
    <n v="5000"/>
  </r>
  <r>
    <n v="215"/>
    <x v="214"/>
    <s v="Sultan Mahmud"/>
    <x v="3"/>
    <s v="Line Operator"/>
    <x v="2"/>
    <s v="Probation"/>
    <d v="2024-06-15T00:00:00"/>
    <x v="22"/>
    <s v="Male"/>
    <s v="Single"/>
    <s v="O+"/>
    <s v="Gazipura 27"/>
    <s v="1km -3km"/>
    <s v="Active"/>
    <n v="5000"/>
  </r>
  <r>
    <n v="216"/>
    <x v="215"/>
    <s v="Shakil Mia"/>
    <x v="3"/>
    <s v="Line Operator"/>
    <x v="2"/>
    <s v="Probation"/>
    <d v="2024-06-15T00:00:00"/>
    <x v="22"/>
    <s v="Male"/>
    <s v="Married"/>
    <s v="B+"/>
    <s v="Gazipura 27"/>
    <s v="1km -3km"/>
    <s v="Active"/>
    <n v="5000"/>
  </r>
  <r>
    <n v="217"/>
    <x v="216"/>
    <s v="Md. Chonok Mia"/>
    <x v="2"/>
    <s v="Line Operator"/>
    <x v="2"/>
    <s v="Probation"/>
    <d v="2024-06-15T00:00:00"/>
    <x v="22"/>
    <s v="Male"/>
    <s v="Single"/>
    <s v="O+"/>
    <s v="Gazipura 27"/>
    <s v="1km -3km"/>
    <s v="Active"/>
    <n v="5000"/>
  </r>
  <r>
    <n v="218"/>
    <x v="217"/>
    <s v="Md. Suhad Un Nabby Sohag"/>
    <x v="3"/>
    <s v="Line Operator"/>
    <x v="2"/>
    <s v="Probation"/>
    <d v="2024-06-15T00:00:00"/>
    <x v="22"/>
    <s v="Male"/>
    <s v="Single"/>
    <s v="O+"/>
    <s v="Gazipura 27"/>
    <s v="1km -3km"/>
    <s v="Active"/>
    <n v="5000"/>
  </r>
  <r>
    <n v="219"/>
    <x v="218"/>
    <s v="Md. Hridoy Mia"/>
    <x v="0"/>
    <s v="Line Operator"/>
    <x v="2"/>
    <s v="Probation"/>
    <d v="2024-06-15T00:00:00"/>
    <x v="22"/>
    <s v="Male"/>
    <s v="Single"/>
    <s v="A+"/>
    <s v="Board Bazar"/>
    <s v="3km-5km"/>
    <s v="Active"/>
    <n v="5000"/>
  </r>
  <r>
    <n v="220"/>
    <x v="219"/>
    <s v="Rafiqul Islam Rabbi"/>
    <x v="3"/>
    <s v="Line Operator"/>
    <x v="2"/>
    <s v="Probation"/>
    <d v="2024-06-15T00:00:00"/>
    <x v="22"/>
    <s v="Male"/>
    <s v="Single"/>
    <s v="O+"/>
    <s v="Kolambiya"/>
    <s v="5-10km"/>
    <s v="Active"/>
    <n v="5000"/>
  </r>
  <r>
    <n v="221"/>
    <x v="220"/>
    <s v="Sumaiya Akter"/>
    <x v="3"/>
    <s v="Line Operator"/>
    <x v="2"/>
    <s v="Probation"/>
    <d v="2024-06-15T00:00:00"/>
    <x v="22"/>
    <s v="Female"/>
    <s v="Single"/>
    <s v="O+"/>
    <s v="Ershad Nagar"/>
    <s v="1km -3km"/>
    <s v="Active"/>
    <n v="5000"/>
  </r>
  <r>
    <n v="222"/>
    <x v="221"/>
    <s v="Md. Mamunur Rashid Mamun"/>
    <x v="2"/>
    <s v="Line Leader"/>
    <x v="2"/>
    <s v="Probation"/>
    <d v="2024-06-15T00:00:00"/>
    <x v="22"/>
    <s v="Male"/>
    <s v="Single"/>
    <s v="O+"/>
    <s v="Gazipura 27"/>
    <s v="1km -3km"/>
    <s v="Active"/>
    <n v="5000"/>
  </r>
  <r>
    <n v="223"/>
    <x v="222"/>
    <s v="Md. Monir Uzzaman"/>
    <x v="3"/>
    <s v="Line Operator"/>
    <x v="2"/>
    <s v="Probation"/>
    <d v="2024-06-15T00:00:00"/>
    <x v="22"/>
    <s v="Male"/>
    <s v="Single"/>
    <s v="B+"/>
    <s v="Boro Bari"/>
    <s v="3km-5km"/>
    <s v="Active"/>
    <n v="5000"/>
  </r>
  <r>
    <n v="224"/>
    <x v="223"/>
    <s v="Mst. Monika Akter"/>
    <x v="3"/>
    <s v="Line Operator"/>
    <x v="2"/>
    <s v="Probation"/>
    <d v="2024-06-15T00:00:00"/>
    <x v="22"/>
    <s v="Female"/>
    <s v="Single"/>
    <s v="B+"/>
    <s v="Gacha"/>
    <s v="3km-5km"/>
    <s v="Active"/>
    <n v="5000"/>
  </r>
  <r>
    <n v="225"/>
    <x v="224"/>
    <s v="Md. Ali Hamza Sagor"/>
    <x v="0"/>
    <s v="Line Operator"/>
    <x v="2"/>
    <s v="Probation"/>
    <d v="2024-06-16T00:00:00"/>
    <x v="23"/>
    <s v="Male"/>
    <s v="Single"/>
    <s v="B+"/>
    <s v="Gacha"/>
    <s v="3km-5km"/>
    <s v="Active"/>
    <n v="5000"/>
  </r>
  <r>
    <n v="226"/>
    <x v="225"/>
    <s v="Mehedi Hasan Shahed"/>
    <x v="2"/>
    <s v="Line Operator"/>
    <x v="2"/>
    <s v="Probation"/>
    <d v="2024-06-16T00:00:00"/>
    <x v="23"/>
    <s v="Male"/>
    <s v="Single"/>
    <s v="B+"/>
    <s v="Ershad Nagar"/>
    <s v="1km -3km"/>
    <s v="Active"/>
    <n v="5000"/>
  </r>
  <r>
    <n v="227"/>
    <x v="226"/>
    <s v="Shajib Ahmed"/>
    <x v="3"/>
    <s v="Line Operator"/>
    <x v="2"/>
    <s v="Probation"/>
    <d v="2024-06-16T00:00:00"/>
    <x v="23"/>
    <s v="Male"/>
    <s v="Single"/>
    <s v="N/A"/>
    <s v="Gacha"/>
    <s v="3km-5km"/>
    <s v="Active"/>
    <n v="5000"/>
  </r>
  <r>
    <n v="228"/>
    <x v="227"/>
    <s v="Md. Parvez"/>
    <x v="2"/>
    <s v="Line Operator"/>
    <x v="2"/>
    <s v="Probation"/>
    <d v="2024-06-16T00:00:00"/>
    <x v="23"/>
    <s v="Male"/>
    <s v="Single"/>
    <s v="A+"/>
    <s v="Ershad Nagar"/>
    <s v="1km -3km"/>
    <s v="Active"/>
    <n v="5000"/>
  </r>
  <r>
    <n v="229"/>
    <x v="228"/>
    <s v="Mahfuja Benta Mubarak"/>
    <x v="3"/>
    <s v="Line Operator"/>
    <x v="2"/>
    <s v="Probation"/>
    <d v="2024-06-17T00:00:00"/>
    <x v="24"/>
    <s v="Female"/>
    <s v="Single"/>
    <s v="B+"/>
    <s v="Board Bazar"/>
    <s v="3km-5km"/>
    <s v="Active"/>
    <n v="5000"/>
  </r>
  <r>
    <n v="230"/>
    <x v="229"/>
    <s v="Most. Saima Khanum Doly"/>
    <x v="3"/>
    <s v="Line Operator"/>
    <x v="2"/>
    <s v="Probation"/>
    <d v="2024-06-17T00:00:00"/>
    <x v="24"/>
    <s v="Female"/>
    <s v="Single"/>
    <s v="AB+"/>
    <s v="Gazipura 27"/>
    <s v="1km -3km"/>
    <s v="Active"/>
    <n v="5000"/>
  </r>
  <r>
    <n v="231"/>
    <x v="230"/>
    <s v="Suma Khatun"/>
    <x v="3"/>
    <s v="Line Operator"/>
    <x v="2"/>
    <s v="Probation"/>
    <d v="2024-06-17T00:00:00"/>
    <x v="24"/>
    <s v="Female"/>
    <s v="Single"/>
    <s v="B+"/>
    <s v="Gazipura 27"/>
    <s v="1km -3km"/>
    <s v="Active"/>
    <n v="5000"/>
  </r>
  <r>
    <n v="232"/>
    <x v="231"/>
    <s v="Md. Alek Sardar"/>
    <x v="5"/>
    <s v="Line Operator"/>
    <x v="2"/>
    <s v="Probation"/>
    <d v="2024-06-17T00:00:00"/>
    <x v="24"/>
    <s v="Male"/>
    <s v="Single"/>
    <s v="B+"/>
    <s v="Gazipura 27"/>
    <s v="1km -3km"/>
    <s v="Active"/>
    <n v="5000"/>
  </r>
  <r>
    <n v="233"/>
    <x v="232"/>
    <s v="Md. Zawad Bin Mostafa"/>
    <x v="3"/>
    <s v="Line Operator"/>
    <x v="2"/>
    <s v="Probation"/>
    <d v="2024-06-17T00:00:00"/>
    <x v="24"/>
    <s v="Male"/>
    <s v="Single"/>
    <s v="AB+"/>
    <s v="Gazipur Sadar"/>
    <s v="10-15km"/>
    <s v="Active"/>
    <n v="5000"/>
  </r>
  <r>
    <n v="234"/>
    <x v="233"/>
    <s v="Marjana"/>
    <x v="3"/>
    <s v="Line Operator"/>
    <x v="2"/>
    <s v="Probation"/>
    <d v="2024-06-17T00:00:00"/>
    <x v="24"/>
    <s v="Female"/>
    <s v="Married"/>
    <s v="A+"/>
    <s v="Gazipura 27"/>
    <s v="1km -3km"/>
    <s v="Active"/>
    <n v="5000"/>
  </r>
  <r>
    <n v="235"/>
    <x v="234"/>
    <s v="Mst. Mim"/>
    <x v="3"/>
    <s v="Line Operator"/>
    <x v="2"/>
    <s v="Probation"/>
    <d v="2024-06-17T00:00:00"/>
    <x v="24"/>
    <s v="Female"/>
    <s v="Single"/>
    <s v="A+"/>
    <s v="Vogra Baypass"/>
    <s v="5-10km"/>
    <s v="Active"/>
    <n v="5000"/>
  </r>
  <r>
    <n v="236"/>
    <x v="235"/>
    <s v="Sumaya Akter Mim"/>
    <x v="3"/>
    <s v="Line Operator"/>
    <x v="2"/>
    <s v="Probation"/>
    <d v="2024-06-17T00:00:00"/>
    <x v="24"/>
    <s v="Female"/>
    <s v="Single"/>
    <s v="A+"/>
    <s v="Ershad Nagar"/>
    <s v="1km -3km"/>
    <s v="Active"/>
    <n v="5000"/>
  </r>
  <r>
    <n v="237"/>
    <x v="236"/>
    <s v="Taslima Akter"/>
    <x v="3"/>
    <s v="Line Operator"/>
    <x v="2"/>
    <s v="Probation"/>
    <d v="2024-06-17T00:00:00"/>
    <x v="24"/>
    <s v="Female"/>
    <s v="Married"/>
    <s v="AB-"/>
    <s v="Boro Bari "/>
    <s v="3km-5km"/>
    <s v="Active"/>
    <n v="5000"/>
  </r>
  <r>
    <n v="238"/>
    <x v="237"/>
    <s v="Md. Abu Nayim"/>
    <x v="3"/>
    <s v="Line Operator"/>
    <x v="2"/>
    <s v="Probation"/>
    <d v="2024-06-17T00:00:00"/>
    <x v="24"/>
    <s v="Male"/>
    <s v="Single"/>
    <s v="AB+"/>
    <s v="Board Bazar"/>
    <s v="3km-5km"/>
    <s v="Active"/>
    <n v="5000"/>
  </r>
  <r>
    <n v="239"/>
    <x v="238"/>
    <s v="Tithi Biswas"/>
    <x v="2"/>
    <s v="Line Operator"/>
    <x v="2"/>
    <s v="Probation"/>
    <d v="2024-06-17T00:00:00"/>
    <x v="24"/>
    <s v="Female"/>
    <s v="Married"/>
    <s v="AB+"/>
    <s v="Gazipura 27"/>
    <s v="1km -3km"/>
    <s v="Active"/>
    <n v="5000"/>
  </r>
  <r>
    <n v="240"/>
    <x v="239"/>
    <s v="Samapto Bala Uraw"/>
    <x v="3"/>
    <s v="Line Operator"/>
    <x v="2"/>
    <s v="Probation"/>
    <d v="2024-06-17T00:00:00"/>
    <x v="24"/>
    <s v="Female"/>
    <s v="Single"/>
    <s v="AB+"/>
    <s v="Gazipura 27"/>
    <s v="1km -3km"/>
    <s v="Active"/>
    <n v="5000"/>
  </r>
  <r>
    <n v="241"/>
    <x v="240"/>
    <s v="Rita Akter Ety"/>
    <x v="0"/>
    <s v="Line Operator"/>
    <x v="2"/>
    <s v="Probation"/>
    <d v="2024-06-17T00:00:00"/>
    <x v="24"/>
    <s v="Female"/>
    <s v="Single"/>
    <s v="N/A"/>
    <s v="Ershad Nagar"/>
    <s v="1km -3km"/>
    <s v="Active"/>
    <n v="5000"/>
  </r>
  <r>
    <n v="242"/>
    <x v="241"/>
    <s v="Md. Arman Ahmeed"/>
    <x v="3"/>
    <s v="Line Operator"/>
    <x v="2"/>
    <s v="Probation"/>
    <d v="2024-06-17T00:00:00"/>
    <x v="24"/>
    <s v="Male"/>
    <s v="Single"/>
    <s v="B+"/>
    <s v="Board Bazar"/>
    <s v="3km-5km"/>
    <s v="Active"/>
    <n v="5000"/>
  </r>
  <r>
    <n v="243"/>
    <x v="242"/>
    <s v="G.M Golam Mostafa"/>
    <x v="3"/>
    <s v="Line Operator"/>
    <x v="2"/>
    <s v="Probation"/>
    <d v="2024-06-18T00:00:00"/>
    <x v="25"/>
    <s v="Male"/>
    <s v="Single"/>
    <s v="O+"/>
    <s v="Gazipura 27"/>
    <s v="1km -3km"/>
    <s v="Active"/>
    <n v="5000"/>
  </r>
  <r>
    <n v="244"/>
    <x v="243"/>
    <s v="Meher Afrin Moli"/>
    <x v="2"/>
    <s v="Line Operator"/>
    <x v="2"/>
    <s v="Probation"/>
    <d v="2024-06-18T00:00:00"/>
    <x v="25"/>
    <s v="Female"/>
    <s v="Single"/>
    <s v="AB+"/>
    <s v="Board Bazar"/>
    <s v="3km-5km"/>
    <s v="Active"/>
    <n v="5000"/>
  </r>
  <r>
    <n v="245"/>
    <x v="244"/>
    <s v="Khadija islam Mou"/>
    <x v="3"/>
    <s v="Line Operator"/>
    <x v="2"/>
    <s v="Probation"/>
    <d v="2024-06-18T00:00:00"/>
    <x v="25"/>
    <s v="Female"/>
    <s v="Single"/>
    <s v="O+"/>
    <s v="Board Bazar"/>
    <s v="3km-5km"/>
    <s v="Active"/>
    <n v="5000"/>
  </r>
  <r>
    <n v="246"/>
    <x v="245"/>
    <s v="Md. Rakibul Hasan"/>
    <x v="3"/>
    <s v="Line Operator"/>
    <x v="2"/>
    <s v="Probation"/>
    <d v="2024-06-18T00:00:00"/>
    <x v="25"/>
    <s v="Male"/>
    <s v="Single"/>
    <s v="B+"/>
    <s v="Uttara"/>
    <s v="5-10km"/>
    <s v="Active"/>
    <n v="5000"/>
  </r>
  <r>
    <n v="247"/>
    <x v="246"/>
    <s v="Afroja Akter Kona"/>
    <x v="0"/>
    <s v="Line Operator"/>
    <x v="2"/>
    <s v="Probation"/>
    <d v="2024-06-18T00:00:00"/>
    <x v="25"/>
    <s v="Female"/>
    <s v="Single"/>
    <s v="A+"/>
    <s v="Ershad Nagar"/>
    <s v="1km -3km"/>
    <s v="Active"/>
    <n v="5000"/>
  </r>
  <r>
    <n v="248"/>
    <x v="247"/>
    <s v="Moriam Akter"/>
    <x v="2"/>
    <s v="Line Operator"/>
    <x v="2"/>
    <s v="Probation"/>
    <d v="2024-06-18T00:00:00"/>
    <x v="25"/>
    <s v="Female"/>
    <s v="Single"/>
    <s v="B+"/>
    <s v="Sign board"/>
    <s v="3km-5km"/>
    <s v="Active"/>
    <n v="5000"/>
  </r>
  <r>
    <n v="249"/>
    <x v="248"/>
    <s v="Md.Naiem Miah"/>
    <x v="3"/>
    <s v="Line Operator"/>
    <x v="2"/>
    <s v="Probation"/>
    <d v="2024-06-18T00:00:00"/>
    <x v="25"/>
    <s v="Male"/>
    <s v="Single"/>
    <s v="N/A"/>
    <s v="Board Bazar"/>
    <s v="3km-5km"/>
    <s v="Active"/>
    <n v="5000"/>
  </r>
  <r>
    <n v="250"/>
    <x v="249"/>
    <s v="Sadhon Kumar Sarker"/>
    <x v="3"/>
    <s v="Line Operator"/>
    <x v="2"/>
    <s v="Probation"/>
    <d v="2024-06-18T00:00:00"/>
    <x v="25"/>
    <s v="Male"/>
    <s v="Single"/>
    <s v="B+"/>
    <s v="Board Bazar"/>
    <s v="3km-5km"/>
    <s v="Active"/>
    <n v="5000"/>
  </r>
  <r>
    <n v="251"/>
    <x v="250"/>
    <s v="Meghla Akter"/>
    <x v="3"/>
    <s v="Line Operator"/>
    <x v="2"/>
    <s v="Probation"/>
    <d v="2024-06-20T00:00:00"/>
    <x v="26"/>
    <s v="Female"/>
    <s v="Single"/>
    <s v="A+"/>
    <s v="Sign board"/>
    <s v="3km-5km"/>
    <s v="Active"/>
    <n v="5000"/>
  </r>
  <r>
    <n v="252"/>
    <x v="251"/>
    <s v="Naznin Nahar"/>
    <x v="3"/>
    <s v="Line Operator"/>
    <x v="2"/>
    <s v="Probation"/>
    <d v="2024-06-20T00:00:00"/>
    <x v="26"/>
    <s v="Female"/>
    <s v="Married"/>
    <s v="AB+"/>
    <s v="Gazipura 27"/>
    <s v="1km -3km"/>
    <s v="Active"/>
    <n v="5000"/>
  </r>
  <r>
    <n v="253"/>
    <x v="252"/>
    <s v="Md. Roni Miah"/>
    <x v="2"/>
    <s v="Line Operator"/>
    <x v="2"/>
    <s v="Probation"/>
    <d v="2024-06-20T00:00:00"/>
    <x v="26"/>
    <s v="Male"/>
    <s v="Single"/>
    <s v="A+"/>
    <s v="Gazipura 27"/>
    <s v="1km -3km"/>
    <s v="Active"/>
    <n v="5000"/>
  </r>
  <r>
    <n v="254"/>
    <x v="253"/>
    <s v="Md. Sujon Mia"/>
    <x v="3"/>
    <s v="Line Operator"/>
    <x v="2"/>
    <s v="Probation"/>
    <d v="2024-06-20T00:00:00"/>
    <x v="26"/>
    <s v="Male"/>
    <s v="Married"/>
    <s v="A+"/>
    <s v="Gazipura 27"/>
    <s v="1km -3km"/>
    <s v="Active"/>
    <n v="5000"/>
  </r>
  <r>
    <n v="255"/>
    <x v="254"/>
    <s v="Md. Masum Mia"/>
    <x v="0"/>
    <s v="Line Operator"/>
    <x v="2"/>
    <s v="Probation"/>
    <d v="2024-06-20T00:00:00"/>
    <x v="26"/>
    <s v="Male"/>
    <s v="Single"/>
    <s v="O+"/>
    <s v="Gazipur Sadar"/>
    <s v="10-15km"/>
    <s v="Active"/>
    <n v="5000"/>
  </r>
  <r>
    <n v="256"/>
    <x v="255"/>
    <s v="Mithun Paul"/>
    <x v="3"/>
    <s v="Line Leader"/>
    <x v="2"/>
    <s v="Probation"/>
    <d v="2024-06-20T00:00:00"/>
    <x v="26"/>
    <s v="Male"/>
    <s v="Married"/>
    <s v="O+"/>
    <s v="Gazipura 27"/>
    <s v="1km -3km"/>
    <s v="Active"/>
    <n v="5000"/>
  </r>
  <r>
    <n v="257"/>
    <x v="256"/>
    <s v="Mohammad Billal Hosen"/>
    <x v="5"/>
    <s v="Line Leader"/>
    <x v="2"/>
    <s v="Probation"/>
    <d v="2024-06-20T00:00:00"/>
    <x v="26"/>
    <s v="Male"/>
    <s v="Single"/>
    <s v="O+"/>
    <s v="Gazipura 27"/>
    <s v="1km -3km"/>
    <s v="Active"/>
    <n v="5000"/>
  </r>
  <r>
    <n v="258"/>
    <x v="257"/>
    <s v="Kaiyoum Sikder"/>
    <x v="3"/>
    <s v="Line Operator"/>
    <x v="2"/>
    <s v="Probation"/>
    <d v="2024-06-20T00:00:00"/>
    <x v="26"/>
    <s v="Male"/>
    <s v="Single"/>
    <s v="O+"/>
    <s v="Ershad Nagar"/>
    <s v="1km -3km"/>
    <s v="Active"/>
    <n v="5000"/>
  </r>
  <r>
    <n v="259"/>
    <x v="258"/>
    <s v="Md. Antor Ali"/>
    <x v="3"/>
    <s v="Line Operator"/>
    <x v="2"/>
    <s v="Probation"/>
    <d v="2024-06-20T00:00:00"/>
    <x v="26"/>
    <s v="Male"/>
    <s v="Single"/>
    <s v="B+"/>
    <s v="Gazipura 27"/>
    <s v="1km -3km"/>
    <s v="Active"/>
    <n v="5000"/>
  </r>
  <r>
    <n v="260"/>
    <x v="259"/>
    <s v="Md. Shakil Hossain"/>
    <x v="2"/>
    <s v="Line Operator"/>
    <x v="2"/>
    <s v="Probation"/>
    <d v="2024-06-20T00:00:00"/>
    <x v="26"/>
    <s v="Male"/>
    <s v="Single"/>
    <s v="B+"/>
    <s v="Gazipur Chowrasta"/>
    <s v="5-10km"/>
    <s v="Active"/>
    <n v="5000"/>
  </r>
  <r>
    <n v="261"/>
    <x v="260"/>
    <s v="Md. Jehad Hossain"/>
    <x v="2"/>
    <s v="Line Operator"/>
    <x v="2"/>
    <s v="Probation"/>
    <d v="2024-06-20T00:00:00"/>
    <x v="26"/>
    <s v="Male"/>
    <s v="Single"/>
    <s v="AB+"/>
    <s v="Gazipura 27"/>
    <s v="1km -3km"/>
    <s v="Active"/>
    <n v="5000"/>
  </r>
  <r>
    <n v="262"/>
    <x v="261"/>
    <s v="Iffatara Mitu"/>
    <x v="3"/>
    <s v="Line Operator"/>
    <x v="2"/>
    <s v="Probation"/>
    <d v="2024-06-21T00:00:00"/>
    <x v="27"/>
    <s v="Female"/>
    <s v="Married"/>
    <s v="B+"/>
    <s v="Board Bazar"/>
    <s v="3km-5km"/>
    <s v="Active"/>
    <n v="27000"/>
  </r>
  <r>
    <n v="263"/>
    <x v="262"/>
    <s v="Md. Oli Bahar"/>
    <x v="2"/>
    <s v="Line Operator"/>
    <x v="2"/>
    <s v="Probation"/>
    <d v="2024-06-21T00:00:00"/>
    <x v="27"/>
    <s v="Male"/>
    <s v="Single"/>
    <s v="O+"/>
    <s v="Gacha"/>
    <s v="3km-5km"/>
    <s v="Active"/>
    <n v="27000"/>
  </r>
  <r>
    <n v="264"/>
    <x v="263"/>
    <s v="Md. Yamin Hossain"/>
    <x v="5"/>
    <s v="Line Operator"/>
    <x v="2"/>
    <s v="Probation"/>
    <d v="2024-06-21T00:00:00"/>
    <x v="27"/>
    <s v="Male"/>
    <s v="Single"/>
    <s v="B+"/>
    <s v="Gazipura 27"/>
    <s v="1km -3km"/>
    <s v="Active"/>
    <n v="27000"/>
  </r>
  <r>
    <n v="265"/>
    <x v="264"/>
    <s v="Mamunur Rashid"/>
    <x v="3"/>
    <s v="Line Operator"/>
    <x v="2"/>
    <s v="Probation"/>
    <d v="2024-06-21T00:00:00"/>
    <x v="27"/>
    <s v="Male"/>
    <s v="Single"/>
    <s v="A+"/>
    <s v="Board Bazar"/>
    <s v="3km-5km"/>
    <s v="Active"/>
    <n v="27000"/>
  </r>
  <r>
    <n v="266"/>
    <x v="265"/>
    <s v="Nure Alam Siddiki"/>
    <x v="3"/>
    <s v="Line Operator"/>
    <x v="2"/>
    <s v="Probation"/>
    <d v="2024-06-21T00:00:00"/>
    <x v="27"/>
    <s v="Male"/>
    <s v="Married"/>
    <s v="O+"/>
    <s v="Sign board"/>
    <s v="3km-5km"/>
    <s v="Active"/>
    <n v="27000"/>
  </r>
  <r>
    <n v="267"/>
    <x v="266"/>
    <s v="Rana"/>
    <x v="6"/>
    <s v="Line Operator"/>
    <x v="2"/>
    <s v="Probation"/>
    <d v="2024-06-23T00:00:00"/>
    <x v="28"/>
    <s v="Male"/>
    <s v="Single"/>
    <s v="B+"/>
    <s v="Charagali"/>
    <s v="3km-5km"/>
    <s v="Active"/>
    <n v="27000"/>
  </r>
  <r>
    <n v="268"/>
    <x v="267"/>
    <s v="Choyon Kumar Shill"/>
    <x v="0"/>
    <s v="Line Operator"/>
    <x v="2"/>
    <s v="Probation"/>
    <d v="2024-06-23T00:00:00"/>
    <x v="28"/>
    <s v="Male"/>
    <s v="Single"/>
    <s v="O+"/>
    <s v="Gazipura 27"/>
    <s v="1km -3km"/>
    <s v="Active"/>
    <n v="27000"/>
  </r>
  <r>
    <n v="269"/>
    <x v="268"/>
    <s v="Farhaduzzaman"/>
    <x v="0"/>
    <s v="Line Operator"/>
    <x v="2"/>
    <s v="Probation"/>
    <d v="2024-06-23T00:00:00"/>
    <x v="28"/>
    <s v="Male"/>
    <s v="Single"/>
    <s v="A+"/>
    <s v="Gazipura 27"/>
    <s v="1km -3km"/>
    <s v="Active"/>
    <n v="27000"/>
  </r>
  <r>
    <n v="270"/>
    <x v="269"/>
    <s v="Shahriar Ahmed"/>
    <x v="2"/>
    <s v="Assistant Leader"/>
    <x v="2"/>
    <s v="Probation"/>
    <d v="2024-06-23T00:00:00"/>
    <x v="28"/>
    <s v="Male"/>
    <s v="Single"/>
    <s v="A+"/>
    <s v="Gazipura 27"/>
    <s v="1km -3km"/>
    <s v="Active"/>
    <n v="27000"/>
  </r>
  <r>
    <n v="271"/>
    <x v="270"/>
    <s v="Md. Tarikul Islam Raju"/>
    <x v="3"/>
    <s v="Line Operator"/>
    <x v="2"/>
    <s v="Probation"/>
    <d v="2024-06-23T00:00:00"/>
    <x v="28"/>
    <s v="Male"/>
    <s v="Single"/>
    <s v="B+"/>
    <s v="Gazipura 27"/>
    <s v="1km -3km"/>
    <s v="Active"/>
    <n v="27000"/>
  </r>
  <r>
    <n v="272"/>
    <x v="271"/>
    <s v="Rakibul Islam"/>
    <x v="2"/>
    <s v="Line Leader"/>
    <x v="2"/>
    <s v="Probation"/>
    <d v="2024-06-23T00:00:00"/>
    <x v="28"/>
    <s v="Male"/>
    <s v="Single"/>
    <s v="O+"/>
    <s v="Gazipura 27"/>
    <s v="1km -3km"/>
    <s v="Active"/>
    <n v="27000"/>
  </r>
  <r>
    <n v="273"/>
    <x v="272"/>
    <s v="Dipali Akter"/>
    <x v="2"/>
    <s v="Line Operator"/>
    <x v="2"/>
    <s v="Probation"/>
    <d v="2024-06-23T00:00:00"/>
    <x v="28"/>
    <s v="Female"/>
    <s v="Single"/>
    <s v="B+"/>
    <s v="Gazipura 27"/>
    <s v="1km -3km"/>
    <s v="Active"/>
    <n v="27000"/>
  </r>
  <r>
    <n v="274"/>
    <x v="273"/>
    <s v="Monalisa Akter"/>
    <x v="0"/>
    <s v="Line Operator"/>
    <x v="2"/>
    <s v="Probation"/>
    <d v="2024-06-23T00:00:00"/>
    <x v="28"/>
    <s v="Female"/>
    <s v="Single"/>
    <s v="B+"/>
    <s v="Gazipura 27"/>
    <s v="1km -3km"/>
    <s v="Active"/>
    <n v="27000"/>
  </r>
  <r>
    <n v="275"/>
    <x v="274"/>
    <s v="Amena Akter"/>
    <x v="3"/>
    <s v="Line Operator"/>
    <x v="2"/>
    <s v="Probation"/>
    <d v="2024-06-23T00:00:00"/>
    <x v="28"/>
    <s v="Female"/>
    <s v="Single"/>
    <s v="B+"/>
    <s v="Gazipura 27"/>
    <s v="1km -3km"/>
    <s v="Active"/>
    <n v="27000"/>
  </r>
  <r>
    <n v="276"/>
    <x v="275"/>
    <s v="Jannatul Fedous Rumi"/>
    <x v="3"/>
    <s v="Line Operator"/>
    <x v="2"/>
    <s v="Probation"/>
    <d v="2024-06-23T00:00:00"/>
    <x v="28"/>
    <s v="Female"/>
    <s v="Single"/>
    <s v="O+"/>
    <s v="Gazipura 27"/>
    <s v="1km -3km"/>
    <s v="Active"/>
    <n v="27000"/>
  </r>
  <r>
    <n v="277"/>
    <x v="276"/>
    <s v="Parama Biswas"/>
    <x v="2"/>
    <s v="Line Operator"/>
    <x v="2"/>
    <s v="Probation"/>
    <d v="2024-06-23T00:00:00"/>
    <x v="28"/>
    <s v="Female"/>
    <s v="Single"/>
    <s v="A+"/>
    <s v="Gazipura 27"/>
    <s v="1km -3km"/>
    <s v="Active"/>
    <n v="27000"/>
  </r>
  <r>
    <n v="278"/>
    <x v="277"/>
    <s v="Mst. Ummey Habiba"/>
    <x v="2"/>
    <s v="Line Operator"/>
    <x v="2"/>
    <s v="Probation"/>
    <d v="2024-06-23T00:00:00"/>
    <x v="28"/>
    <s v="Female"/>
    <s v="Single"/>
    <s v="B+"/>
    <s v="Gazipura 27"/>
    <s v="1km -3km"/>
    <s v="Active"/>
    <n v="27000"/>
  </r>
  <r>
    <n v="279"/>
    <x v="278"/>
    <s v="Bithe Akter"/>
    <x v="1"/>
    <s v="Line Operator"/>
    <x v="2"/>
    <s v="Probation"/>
    <d v="2024-06-23T00:00:00"/>
    <x v="28"/>
    <s v="Female"/>
    <s v="Single"/>
    <s v="A-"/>
    <s v="Gazipura 27"/>
    <s v="1km -3km"/>
    <s v="Active"/>
    <n v="27000"/>
  </r>
  <r>
    <n v="280"/>
    <x v="279"/>
    <s v="Md. Shohag Shaikh"/>
    <x v="2"/>
    <s v="Line Operator"/>
    <x v="2"/>
    <s v="Probation"/>
    <d v="2024-06-23T00:00:00"/>
    <x v="28"/>
    <s v="Male"/>
    <s v="Single"/>
    <s v="O+"/>
    <s v="Gazipura 27"/>
    <s v="1km -3km"/>
    <s v="Active"/>
    <n v="27000"/>
  </r>
  <r>
    <n v="281"/>
    <x v="280"/>
    <s v="Muni Akter"/>
    <x v="3"/>
    <s v="Line Leader"/>
    <x v="2"/>
    <s v="Probation"/>
    <d v="2024-06-23T00:00:00"/>
    <x v="28"/>
    <s v="Female"/>
    <s v="Single"/>
    <s v="O+"/>
    <s v="Gazipura 27"/>
    <s v="1km -3km"/>
    <s v="Active"/>
    <n v="27000"/>
  </r>
  <r>
    <n v="282"/>
    <x v="281"/>
    <s v="Md. Nazmul Hossain"/>
    <x v="3"/>
    <s v="Line Operator"/>
    <x v="2"/>
    <s v="Probation"/>
    <d v="2024-06-23T00:00:00"/>
    <x v="28"/>
    <s v="Male"/>
    <s v="Single"/>
    <s v="A+"/>
    <s v="Board Bazar"/>
    <s v="3km-5km"/>
    <s v="Active"/>
    <n v="27000"/>
  </r>
  <r>
    <n v="283"/>
    <x v="282"/>
    <s v="Md. Mahfuzur Rahman"/>
    <x v="2"/>
    <s v="Line Operator"/>
    <x v="2"/>
    <s v="Probation"/>
    <d v="2024-06-23T00:00:00"/>
    <x v="28"/>
    <s v="Male"/>
    <s v="Single"/>
    <s v="B+"/>
    <s v="Board Bazar"/>
    <s v="3km-5km"/>
    <s v="Active"/>
    <n v="27000"/>
  </r>
  <r>
    <n v="284"/>
    <x v="283"/>
    <s v="Md. Abdul Momin"/>
    <x v="5"/>
    <s v="Line Operator"/>
    <x v="2"/>
    <s v="Probation"/>
    <d v="2024-06-24T00:00:00"/>
    <x v="29"/>
    <s v="Male"/>
    <s v="Single"/>
    <s v="B-"/>
    <s v="Gazipura 27"/>
    <s v="1km -3km"/>
    <s v="Active"/>
    <n v="27000"/>
  </r>
  <r>
    <n v="285"/>
    <x v="284"/>
    <s v="Md. Imam Hossain Siam"/>
    <x v="0"/>
    <s v="Line Operator"/>
    <x v="2"/>
    <s v="Probation"/>
    <d v="2024-06-24T00:00:00"/>
    <x v="29"/>
    <s v="Male"/>
    <s v="Single"/>
    <s v="N/A"/>
    <s v="Boro Bari"/>
    <s v="3km-5km"/>
    <s v="Active"/>
    <n v="27000"/>
  </r>
  <r>
    <n v="286"/>
    <x v="285"/>
    <s v="Rita Akter"/>
    <x v="0"/>
    <s v="Line Operator"/>
    <x v="2"/>
    <s v="Probation"/>
    <d v="2024-06-24T00:00:00"/>
    <x v="29"/>
    <s v="Female"/>
    <s v="Single"/>
    <s v="O+"/>
    <s v="Ershad Nagar"/>
    <s v="1km -3km"/>
    <s v="Active"/>
    <n v="27000"/>
  </r>
  <r>
    <n v="287"/>
    <x v="286"/>
    <s v="Tanjina Akter Mukta"/>
    <x v="2"/>
    <s v="Line Operator"/>
    <x v="2"/>
    <s v="Probation"/>
    <d v="2024-06-27T00:00:00"/>
    <x v="30"/>
    <s v="Female"/>
    <s v="Single"/>
    <s v="A+"/>
    <s v="Boro Bari"/>
    <s v="3km-5km"/>
    <s v="Active"/>
    <n v="30000"/>
  </r>
  <r>
    <n v="288"/>
    <x v="287"/>
    <s v="Mahadi Hasan"/>
    <x v="0"/>
    <s v="Line Operator"/>
    <x v="2"/>
    <s v="Probation"/>
    <d v="2024-06-27T00:00:00"/>
    <x v="30"/>
    <s v="Male"/>
    <s v="Single"/>
    <s v="AB+"/>
    <s v="Board Bazar"/>
    <s v="3km-5km"/>
    <s v="Active"/>
    <n v="30000"/>
  </r>
  <r>
    <n v="289"/>
    <x v="288"/>
    <s v="Md. Sohag"/>
    <x v="3"/>
    <s v="Line Operator"/>
    <x v="2"/>
    <s v="Probation"/>
    <d v="2024-06-27T00:00:00"/>
    <x v="30"/>
    <s v="Male"/>
    <s v="Single"/>
    <s v="AB+"/>
    <s v="Gazipura 27"/>
    <s v="1km -3km"/>
    <s v="Active"/>
    <n v="30000"/>
  </r>
  <r>
    <n v="290"/>
    <x v="289"/>
    <s v="Md. Mahafuj Ali"/>
    <x v="2"/>
    <s v="Line Operator"/>
    <x v="2"/>
    <s v="Probation"/>
    <d v="2024-06-29T00:00:00"/>
    <x v="31"/>
    <s v="Male"/>
    <s v="Single"/>
    <s v="N/A"/>
    <s v="Board Bazar"/>
    <s v="3km-5km"/>
    <s v="Active"/>
    <n v="30000"/>
  </r>
  <r>
    <n v="291"/>
    <x v="290"/>
    <s v="Rezaul Islam Sajib"/>
    <x v="0"/>
    <s v="Line Operator"/>
    <x v="2"/>
    <s v="Probation"/>
    <d v="2024-06-29T00:00:00"/>
    <x v="31"/>
    <s v="Male"/>
    <s v="Single"/>
    <s v="O+"/>
    <s v="Khilkhet"/>
    <s v="10-15km"/>
    <s v="Active"/>
    <n v="30000"/>
  </r>
  <r>
    <n v="292"/>
    <x v="291"/>
    <s v="Rezuan Ullah"/>
    <x v="0"/>
    <s v="Line Operator"/>
    <x v="2"/>
    <s v="Probation"/>
    <d v="2024-06-29T00:00:00"/>
    <x v="31"/>
    <s v="Male"/>
    <s v="Single"/>
    <s v="B+"/>
    <s v="Gazipura 27"/>
    <s v="1km -3km"/>
    <s v="Active"/>
    <n v="30000"/>
  </r>
  <r>
    <n v="293"/>
    <x v="292"/>
    <s v="Pobitra Chandra"/>
    <x v="2"/>
    <s v="Line Operator"/>
    <x v="2"/>
    <s v="Probation"/>
    <d v="2024-06-29T00:00:00"/>
    <x v="31"/>
    <s v="Male"/>
    <s v="Single"/>
    <s v="O+"/>
    <s v="Gazipura 27"/>
    <s v="1km -3km"/>
    <s v="Active"/>
    <n v="30000"/>
  </r>
  <r>
    <n v="294"/>
    <x v="293"/>
    <s v="Mostafizur Rahman"/>
    <x v="2"/>
    <s v="Line Operator"/>
    <x v="2"/>
    <s v="Probation"/>
    <d v="2024-06-29T00:00:00"/>
    <x v="31"/>
    <s v="Male"/>
    <s v="Married"/>
    <s v="AB+"/>
    <s v="Gazipura 27"/>
    <s v="1km -3km"/>
    <s v="Active"/>
    <n v="30000"/>
  </r>
  <r>
    <n v="295"/>
    <x v="294"/>
    <s v="Joy Chondro Dus"/>
    <x v="0"/>
    <s v="Line Operator"/>
    <x v="2"/>
    <s v="Probation"/>
    <d v="2024-06-29T00:00:00"/>
    <x v="31"/>
    <s v="Male"/>
    <s v="Single"/>
    <s v="N/A"/>
    <s v="Gazipura 27"/>
    <s v="1km -3km"/>
    <s v="Active"/>
    <n v="30000"/>
  </r>
  <r>
    <n v="296"/>
    <x v="295"/>
    <s v="Rakibul Islam"/>
    <x v="3"/>
    <s v="Line Operator"/>
    <x v="2"/>
    <s v="Probation"/>
    <d v="2024-06-29T00:00:00"/>
    <x v="31"/>
    <s v="Male"/>
    <s v="Single"/>
    <s v="O+"/>
    <s v="Vogra Baypass"/>
    <s v="5-10km"/>
    <s v="Active"/>
    <n v="30000"/>
  </r>
  <r>
    <n v="297"/>
    <x v="296"/>
    <s v="Hosneara"/>
    <x v="2"/>
    <s v="Line Operator"/>
    <x v="2"/>
    <s v="Probation"/>
    <d v="2024-06-29T00:00:00"/>
    <x v="31"/>
    <s v="Female"/>
    <s v="Single"/>
    <s v="B+"/>
    <s v="Gacha"/>
    <s v="3km-5km"/>
    <s v="Active"/>
    <n v="30000"/>
  </r>
  <r>
    <n v="298"/>
    <x v="297"/>
    <s v="Easha Moni"/>
    <x v="2"/>
    <s v="Line Operator"/>
    <x v="2"/>
    <s v="Probation"/>
    <d v="2024-06-29T00:00:00"/>
    <x v="31"/>
    <s v="Female"/>
    <s v="Married"/>
    <s v="O+"/>
    <s v="Gazipura 27"/>
    <s v="1km -3km"/>
    <s v="Active"/>
    <n v="30000"/>
  </r>
  <r>
    <n v="299"/>
    <x v="298"/>
    <s v="Riad Talukdar"/>
    <x v="2"/>
    <s v="Line Operator"/>
    <x v="2"/>
    <s v="Probation"/>
    <d v="2024-06-29T00:00:00"/>
    <x v="31"/>
    <s v="Male"/>
    <s v="Married"/>
    <s v="O+"/>
    <s v="Gazipura 27"/>
    <s v="1km -3km"/>
    <s v="Active"/>
    <n v="30000"/>
  </r>
  <r>
    <n v="300"/>
    <x v="299"/>
    <s v="Mujahidul Islam"/>
    <x v="3"/>
    <s v="Line Operator"/>
    <x v="2"/>
    <s v="Probation"/>
    <d v="2024-06-29T00:00:00"/>
    <x v="31"/>
    <s v="Male"/>
    <s v="Single"/>
    <s v="A+"/>
    <s v="Gazipura 27"/>
    <s v="1km -3km"/>
    <s v="Active"/>
    <n v="30000"/>
  </r>
  <r>
    <n v="301"/>
    <x v="300"/>
    <s v="Mohon"/>
    <x v="2"/>
    <s v="Cleaner"/>
    <x v="2"/>
    <s v="Probation"/>
    <d v="2024-06-29T00:00:00"/>
    <x v="31"/>
    <s v="Male"/>
    <s v="Single"/>
    <s v="A+"/>
    <s v="Gazipura 27"/>
    <s v="1km -3km"/>
    <s v="Active"/>
    <n v="30000"/>
  </r>
  <r>
    <n v="302"/>
    <x v="301"/>
    <s v="Md. Sujon  Ali Shekh"/>
    <x v="2"/>
    <s v="Cleaner"/>
    <x v="2"/>
    <s v="Probation"/>
    <d v="2024-06-29T00:00:00"/>
    <x v="31"/>
    <s v="Male"/>
    <s v="Single"/>
    <s v="A+"/>
    <s v="Gazipura 27"/>
    <s v="1km -3km"/>
    <s v="Active"/>
    <n v="30000"/>
  </r>
  <r>
    <n v="303"/>
    <x v="302"/>
    <s v="Md. Al Rafi"/>
    <x v="3"/>
    <s v="Line Operator"/>
    <x v="2"/>
    <s v="Probation"/>
    <d v="2024-06-30T00:00:00"/>
    <x v="32"/>
    <s v="Male"/>
    <s v="Single"/>
    <s v="B-"/>
    <s v="Boro Bari "/>
    <s v="3km-5km"/>
    <s v="Active"/>
    <n v="30000"/>
  </r>
  <r>
    <n v="304"/>
    <x v="303"/>
    <s v="Sakib Ahmed Nobi"/>
    <x v="3"/>
    <s v="Line Operator"/>
    <x v="2"/>
    <s v="Probation"/>
    <d v="2024-06-30T00:00:00"/>
    <x v="32"/>
    <s v="Male"/>
    <s v="Single"/>
    <s v="B+"/>
    <s v="Board Bazar"/>
    <s v="3km-5km"/>
    <s v="Active"/>
    <n v="30000"/>
  </r>
  <r>
    <n v="305"/>
    <x v="304"/>
    <s v="Md. Zamil Hossen"/>
    <x v="2"/>
    <s v="Line Operator"/>
    <x v="2"/>
    <s v="Probation"/>
    <d v="2024-06-30T00:00:00"/>
    <x v="32"/>
    <s v="Male"/>
    <s v="Single"/>
    <s v="O+"/>
    <s v="Gazipura 27"/>
    <s v="1km -3km"/>
    <s v="Active"/>
    <n v="30000"/>
  </r>
  <r>
    <n v="306"/>
    <x v="305"/>
    <s v="Jannatul Fardaus"/>
    <x v="3"/>
    <s v="Line Operator"/>
    <x v="2"/>
    <s v="Probation"/>
    <d v="2024-07-01T00:00:00"/>
    <x v="33"/>
    <s v="Female"/>
    <s v="Single"/>
    <s v="O+"/>
    <s v="Bason"/>
    <s v="5km-10km"/>
    <s v="Active"/>
    <n v="30000"/>
  </r>
  <r>
    <n v="307"/>
    <x v="306"/>
    <s v="Roxi Akter Bristi"/>
    <x v="3"/>
    <s v="Line Operator"/>
    <x v="2"/>
    <s v="Probation"/>
    <d v="2024-07-01T00:00:00"/>
    <x v="33"/>
    <s v="Female"/>
    <s v="Single"/>
    <s v="A+"/>
    <s v="Gazipura 27"/>
    <s v="1km -3km"/>
    <s v="Active"/>
    <n v="30000"/>
  </r>
  <r>
    <n v="308"/>
    <x v="307"/>
    <s v="Zahid Hasan"/>
    <x v="2"/>
    <s v="Line Operator"/>
    <x v="2"/>
    <s v="Probation"/>
    <d v="2024-07-04T00:00:00"/>
    <x v="34"/>
    <s v="Male"/>
    <s v="Single"/>
    <s v="B+"/>
    <s v="Board Bazar"/>
    <s v="3km-5km"/>
    <s v="Active"/>
    <n v="30000"/>
  </r>
  <r>
    <n v="309"/>
    <x v="308"/>
    <s v="Md. Emon Hossain"/>
    <x v="0"/>
    <s v="Line Operator"/>
    <x v="2"/>
    <s v="Probation"/>
    <d v="2024-07-04T00:00:00"/>
    <x v="34"/>
    <s v="Male"/>
    <s v="Single"/>
    <s v="B+"/>
    <s v="Board Bazar"/>
    <s v="3km-5km"/>
    <s v="Active"/>
    <n v="30000"/>
  </r>
  <r>
    <n v="310"/>
    <x v="309"/>
    <s v="Nadiya Akter Setu"/>
    <x v="0"/>
    <s v="Line Operator"/>
    <x v="2"/>
    <s v="Probation"/>
    <d v="2024-07-04T00:00:00"/>
    <x v="34"/>
    <s v="Female"/>
    <s v="Married"/>
    <s v="B+"/>
    <s v="Boro Bari"/>
    <s v="3km-5km"/>
    <s v="Active"/>
    <n v="30000"/>
  </r>
  <r>
    <n v="311"/>
    <x v="310"/>
    <s v="Mst. Ayesha Begum"/>
    <x v="2"/>
    <s v="Line Operator"/>
    <x v="2"/>
    <s v="Probation"/>
    <d v="2024-07-04T00:00:00"/>
    <x v="34"/>
    <s v="Female"/>
    <s v="Single"/>
    <s v="A+"/>
    <s v="Gazipura 27"/>
    <s v="1km -3km"/>
    <s v="Active"/>
    <n v="6000"/>
  </r>
  <r>
    <n v="312"/>
    <x v="311"/>
    <s v="Md. Saiful Islam"/>
    <x v="2"/>
    <s v="Executive"/>
    <x v="1"/>
    <s v="Probation"/>
    <d v="2024-07-02T00:00:00"/>
    <x v="35"/>
    <s v="Male"/>
    <s v="Single"/>
    <s v="A+"/>
    <s v="Gazipur Sadar"/>
    <s v="10-15km"/>
    <s v="Active"/>
    <n v="6000"/>
  </r>
  <r>
    <n v="313"/>
    <x v="312"/>
    <s v="Shahin Alam"/>
    <x v="3"/>
    <s v="Line Operator"/>
    <x v="2"/>
    <s v="Probation"/>
    <d v="2024-07-04T00:00:00"/>
    <x v="34"/>
    <s v="Male"/>
    <s v="Single"/>
    <s v="N/A"/>
    <s v="Gazipura 27"/>
    <s v="1km -3km"/>
    <s v="Active"/>
    <n v="6000"/>
  </r>
  <r>
    <n v="314"/>
    <x v="313"/>
    <s v="Asif Hasan Jisan"/>
    <x v="3"/>
    <s v="Line Operator"/>
    <x v="2"/>
    <s v="Probation"/>
    <d v="2024-07-04T00:00:00"/>
    <x v="34"/>
    <s v="Male"/>
    <s v="Single"/>
    <s v="B+"/>
    <s v="Ershad Nagar"/>
    <s v="1km -3km"/>
    <s v="Active"/>
    <n v="6000"/>
  </r>
  <r>
    <n v="315"/>
    <x v="314"/>
    <s v="Md. Jahidul Islam"/>
    <x v="3"/>
    <s v="Line Operator"/>
    <x v="2"/>
    <s v="Probation"/>
    <d v="2024-07-07T00:00:00"/>
    <x v="36"/>
    <s v="Male"/>
    <s v="Single"/>
    <s v="N/A"/>
    <s v="Hossen Market"/>
    <s v="1km -3km"/>
    <s v="Active"/>
    <n v="6000"/>
  </r>
  <r>
    <n v="316"/>
    <x v="315"/>
    <s v="Mst. Sammi Akter"/>
    <x v="2"/>
    <s v="Line Operator"/>
    <x v="2"/>
    <s v="Probation"/>
    <d v="2024-07-07T00:00:00"/>
    <x v="36"/>
    <s v="Female"/>
    <s v="Single"/>
    <s v="N/A"/>
    <s v="Gacha"/>
    <s v="3km-5km"/>
    <s v="Active"/>
    <n v="6000"/>
  </r>
  <r>
    <n v="317"/>
    <x v="316"/>
    <s v="Banna Akter"/>
    <x v="5"/>
    <s v="Line Operator"/>
    <x v="2"/>
    <s v="Probation"/>
    <d v="2024-07-07T00:00:00"/>
    <x v="36"/>
    <s v="Female"/>
    <s v="Married"/>
    <s v="O+"/>
    <s v="Ershad Nagar"/>
    <s v="1km -3km"/>
    <s v="Active"/>
    <n v="6000"/>
  </r>
  <r>
    <n v="318"/>
    <x v="317"/>
    <s v="Afrin Akter Akhi"/>
    <x v="0"/>
    <s v="Line Operator"/>
    <x v="2"/>
    <s v="Probation"/>
    <d v="2024-07-07T00:00:00"/>
    <x v="36"/>
    <s v="Female"/>
    <s v="Single"/>
    <s v="O+"/>
    <s v="Ershad Nagar"/>
    <s v="1km -3km"/>
    <s v="Active"/>
    <n v="6000"/>
  </r>
  <r>
    <n v="319"/>
    <x v="318"/>
    <s v="Liza Akter Laboni"/>
    <x v="3"/>
    <s v="Line Operator"/>
    <x v="2"/>
    <s v="Probation"/>
    <d v="2024-07-07T00:00:00"/>
    <x v="36"/>
    <s v="Female"/>
    <s v="Single"/>
    <s v="N/A"/>
    <s v="Ershad Nagar"/>
    <s v="1km -3km"/>
    <s v="Active"/>
    <n v="6000"/>
  </r>
  <r>
    <n v="320"/>
    <x v="319"/>
    <s v="Md. Nadim Hossain Choyon"/>
    <x v="0"/>
    <s v="Line Operator"/>
    <x v="2"/>
    <s v="Probation"/>
    <d v="2024-07-08T00:00:00"/>
    <x v="37"/>
    <s v="Male"/>
    <s v="Single"/>
    <s v="B+"/>
    <s v="Gacha"/>
    <s v="3km-5km"/>
    <s v="Active"/>
    <n v="6000"/>
  </r>
  <r>
    <n v="321"/>
    <x v="320"/>
    <s v="Khadeja Akter Anika"/>
    <x v="0"/>
    <s v="Line Operator"/>
    <x v="2"/>
    <s v="Probation"/>
    <d v="2024-07-08T00:00:00"/>
    <x v="37"/>
    <s v="Female"/>
    <s v="Single"/>
    <s v="B+"/>
    <s v="Gacha"/>
    <s v="3km-5km"/>
    <s v="Active"/>
    <n v="6000"/>
  </r>
  <r>
    <n v="322"/>
    <x v="321"/>
    <s v="Jerin"/>
    <x v="3"/>
    <s v="Line Operator"/>
    <x v="2"/>
    <s v="Probation"/>
    <d v="2024-07-08T00:00:00"/>
    <x v="37"/>
    <s v="Female"/>
    <s v="Single"/>
    <s v="N/A"/>
    <s v="Azimpur Dhaka"/>
    <s v="20km-30km"/>
    <s v="Active"/>
    <n v="6000"/>
  </r>
  <r>
    <n v="323"/>
    <x v="322"/>
    <s v="Md. Alamin"/>
    <x v="2"/>
    <s v="Line Operator"/>
    <x v="2"/>
    <s v="Probation"/>
    <d v="2024-07-08T00:00:00"/>
    <x v="37"/>
    <s v="Male"/>
    <s v="Single"/>
    <s v="B+"/>
    <s v="Board Bazar"/>
    <s v="3km-5km"/>
    <s v="Active"/>
    <n v="6000"/>
  </r>
  <r>
    <n v="324"/>
    <x v="323"/>
    <s v="Md. Raju Mia"/>
    <x v="2"/>
    <s v="Line Operator"/>
    <x v="2"/>
    <s v="Probation"/>
    <d v="2024-07-08T00:00:00"/>
    <x v="37"/>
    <s v="Male"/>
    <s v="Single"/>
    <s v="O+"/>
    <s v="Board Bazar"/>
    <s v="3km-5km"/>
    <s v="Active"/>
    <n v="6000"/>
  </r>
  <r>
    <n v="325"/>
    <x v="324"/>
    <s v="Mukta Moni"/>
    <x v="2"/>
    <s v="Line Operator"/>
    <x v="2"/>
    <s v="Probation"/>
    <d v="2024-07-08T00:00:00"/>
    <x v="37"/>
    <s v="Female"/>
    <s v="Single"/>
    <s v="N/A"/>
    <s v="Ershad Nagar"/>
    <s v="1km -3km"/>
    <s v="Active"/>
    <n v="6000"/>
  </r>
  <r>
    <n v="326"/>
    <x v="325"/>
    <s v="Azizul Hakim"/>
    <x v="2"/>
    <s v="Line Operator"/>
    <x v="2"/>
    <s v="Probation"/>
    <d v="2024-07-08T00:00:00"/>
    <x v="37"/>
    <s v="Male"/>
    <s v="Single"/>
    <s v="O+"/>
    <s v="Kunia"/>
    <s v="3km-5km"/>
    <s v="Active"/>
    <n v="6000"/>
  </r>
  <r>
    <n v="327"/>
    <x v="326"/>
    <s v="Khairul Islam Sagor"/>
    <x v="3"/>
    <s v="Line Operator"/>
    <x v="2"/>
    <s v="Probation"/>
    <d v="2024-07-08T00:00:00"/>
    <x v="37"/>
    <s v="Male"/>
    <s v="Single"/>
    <s v="O+"/>
    <s v="Gazipura 27"/>
    <s v="1km -3km"/>
    <s v="Active"/>
    <n v="6000"/>
  </r>
  <r>
    <n v="328"/>
    <x v="327"/>
    <s v="Atikur Rahman"/>
    <x v="3"/>
    <s v="Line Operator"/>
    <x v="2"/>
    <s v="Probation"/>
    <d v="2024-07-08T00:00:00"/>
    <x v="37"/>
    <s v="Male"/>
    <s v="Single"/>
    <s v="B+"/>
    <s v="Gazipura 27"/>
    <s v="1km -3km"/>
    <s v="Active"/>
    <n v="6000"/>
  </r>
  <r>
    <n v="329"/>
    <x v="328"/>
    <s v="Md. Masud Rana"/>
    <x v="3"/>
    <s v="Line Operator"/>
    <x v="2"/>
    <s v="Probation"/>
    <d v="2024-07-08T00:00:00"/>
    <x v="37"/>
    <s v="Male"/>
    <s v="Single"/>
    <s v="B+"/>
    <s v="Gazipura 27"/>
    <s v="1km -3km"/>
    <s v="Active"/>
    <n v="6000"/>
  </r>
  <r>
    <n v="330"/>
    <x v="329"/>
    <s v="Rima Akter"/>
    <x v="2"/>
    <s v="Line Operator"/>
    <x v="2"/>
    <s v="Probation"/>
    <d v="2024-07-08T00:00:00"/>
    <x v="37"/>
    <s v="Female"/>
    <s v="Single"/>
    <s v="N/A"/>
    <s v="Gazipura 27"/>
    <s v="1km -3km"/>
    <s v="Active"/>
    <n v="6000"/>
  </r>
  <r>
    <n v="331"/>
    <x v="330"/>
    <s v="Nazmul Islam"/>
    <x v="5"/>
    <s v="Executive"/>
    <x v="1"/>
    <s v="Probation"/>
    <d v="2024-07-09T00:00:00"/>
    <x v="38"/>
    <s v="Male"/>
    <s v="Married"/>
    <s v="AB+"/>
    <s v="Gazipura 27"/>
    <s v="1km -3km"/>
    <s v="Active"/>
    <n v="6000"/>
  </r>
  <r>
    <n v="332"/>
    <x v="331"/>
    <s v="Hridoy Hossain Khan"/>
    <x v="0"/>
    <s v="Line Operator"/>
    <x v="2"/>
    <s v="Probation"/>
    <d v="2024-07-09T00:00:00"/>
    <x v="38"/>
    <s v="Male"/>
    <s v="Single"/>
    <s v="B+"/>
    <s v="Vogra Baypass"/>
    <s v="5-10km"/>
    <s v="Active"/>
    <n v="6000"/>
  </r>
  <r>
    <n v="333"/>
    <x v="332"/>
    <s v="Saboj Mia"/>
    <x v="3"/>
    <s v="Line Operator"/>
    <x v="2"/>
    <s v="Probation"/>
    <d v="2024-07-09T00:00:00"/>
    <x v="38"/>
    <s v="Male"/>
    <s v="Single"/>
    <s v="B+"/>
    <s v="Gazipura 27"/>
    <s v="1km -3km"/>
    <s v="Active"/>
    <n v="6000"/>
  </r>
  <r>
    <n v="334"/>
    <x v="333"/>
    <s v="Fatama Iti"/>
    <x v="0"/>
    <s v="Line Operator"/>
    <x v="2"/>
    <s v="Probation"/>
    <d v="2024-07-09T00:00:00"/>
    <x v="38"/>
    <s v="Female"/>
    <s v="Married"/>
    <s v="O+"/>
    <s v="Gazipura 27"/>
    <s v="1km -3km"/>
    <s v="Active"/>
    <n v="6000"/>
  </r>
  <r>
    <n v="335"/>
    <x v="334"/>
    <s v="Rimu Akter"/>
    <x v="2"/>
    <s v="Line Operator"/>
    <x v="2"/>
    <s v="Probation"/>
    <d v="2024-07-09T00:00:00"/>
    <x v="38"/>
    <s v="Female"/>
    <s v="Single"/>
    <s v="B+"/>
    <s v="Vogra Baypass"/>
    <s v="5-10km"/>
    <s v="Active"/>
    <n v="6000"/>
  </r>
  <r>
    <n v="336"/>
    <x v="335"/>
    <s v="Dolon Akter Prova"/>
    <x v="2"/>
    <s v="Line Operator"/>
    <x v="2"/>
    <s v="Probation"/>
    <d v="2024-07-09T00:00:00"/>
    <x v="38"/>
    <s v="Female"/>
    <s v="Single"/>
    <s v="A+"/>
    <s v="Gacha"/>
    <s v="3km-5km"/>
    <s v="Active"/>
    <n v="6000"/>
  </r>
  <r>
    <n v="337"/>
    <x v="336"/>
    <s v="Sabiha Sultana Masuma"/>
    <x v="2"/>
    <s v="Line Operator"/>
    <x v="2"/>
    <s v="Probation"/>
    <d v="2024-07-10T00:00:00"/>
    <x v="39"/>
    <s v="Female"/>
    <s v="Single"/>
    <s v="B+"/>
    <s v="Gazipura 27"/>
    <s v="1km -3km"/>
    <s v="Active"/>
    <n v="6000"/>
  </r>
  <r>
    <n v="338"/>
    <x v="337"/>
    <s v="Md. Azizul Islam"/>
    <x v="2"/>
    <s v="Line Operator"/>
    <x v="2"/>
    <s v="Probation"/>
    <d v="2024-07-10T00:00:00"/>
    <x v="39"/>
    <s v="Male"/>
    <s v="Single"/>
    <s v="A+"/>
    <s v="Gazipura 27"/>
    <s v="1km -3km"/>
    <s v="Active"/>
    <n v="6000"/>
  </r>
  <r>
    <n v="339"/>
    <x v="338"/>
    <s v="Ebrahim Miah"/>
    <x v="5"/>
    <s v="Assistant Leader"/>
    <x v="2"/>
    <s v="Probation"/>
    <d v="2024-07-10T00:00:00"/>
    <x v="39"/>
    <s v="Male"/>
    <s v="Single"/>
    <s v="O+"/>
    <s v="Gazipura 27"/>
    <s v="1km -3km"/>
    <s v="Active"/>
    <n v="6000"/>
  </r>
  <r>
    <n v="340"/>
    <x v="339"/>
    <s v="Md. Mirajul Islam"/>
    <x v="3"/>
    <s v="Line Operator"/>
    <x v="2"/>
    <s v="Probation"/>
    <d v="2024-07-10T00:00:00"/>
    <x v="39"/>
    <s v="Male"/>
    <s v="Single"/>
    <s v="A+"/>
    <s v="Gazipura 27"/>
    <s v="1km -3km"/>
    <s v="Active"/>
    <n v="6000"/>
  </r>
  <r>
    <n v="341"/>
    <x v="340"/>
    <s v="Rabaya Sultana"/>
    <x v="0"/>
    <s v="Line Operator"/>
    <x v="2"/>
    <s v="Probation"/>
    <d v="2024-07-11T00:00:00"/>
    <x v="40"/>
    <s v="Female"/>
    <s v="Single"/>
    <s v="B+"/>
    <s v="Gazipura 27"/>
    <s v="1km -3km"/>
    <s v="Active"/>
    <n v="6000"/>
  </r>
  <r>
    <n v="342"/>
    <x v="341"/>
    <s v="Sagar Modak"/>
    <x v="0"/>
    <s v="Line Operator"/>
    <x v="2"/>
    <s v="Probation"/>
    <d v="2024-07-11T00:00:00"/>
    <x v="40"/>
    <s v="Male"/>
    <s v="Single"/>
    <s v="A+"/>
    <s v="Gazipura 27"/>
    <s v="1km -3km"/>
    <s v="Active"/>
    <n v="6000"/>
  </r>
  <r>
    <n v="343"/>
    <x v="342"/>
    <s v="Sudip Modak"/>
    <x v="5"/>
    <s v="Line Operator"/>
    <x v="2"/>
    <s v="Probation"/>
    <d v="2024-07-11T00:00:00"/>
    <x v="40"/>
    <s v="Male"/>
    <s v="Single"/>
    <s v="O+"/>
    <s v="Gazipura 27"/>
    <s v="1km -3km"/>
    <s v="Active"/>
    <n v="6000"/>
  </r>
  <r>
    <n v="344"/>
    <x v="343"/>
    <s v="Neloy Kumar"/>
    <x v="3"/>
    <s v="Line Operator"/>
    <x v="2"/>
    <s v="Probation"/>
    <d v="2024-07-11T00:00:00"/>
    <x v="40"/>
    <s v="Male"/>
    <s v="Single"/>
    <s v="B+"/>
    <s v="Gazipura 27"/>
    <s v="1km -3km"/>
    <s v="Active"/>
    <n v="6000"/>
  </r>
  <r>
    <n v="345"/>
    <x v="344"/>
    <s v="Md. Omar Faruk"/>
    <x v="2"/>
    <s v="Line Operator"/>
    <x v="2"/>
    <s v="Probation"/>
    <d v="2024-07-11T00:00:00"/>
    <x v="40"/>
    <s v="Male"/>
    <s v="Single"/>
    <s v="O+"/>
    <s v="Gacha"/>
    <s v="3km-5km"/>
    <s v="Active"/>
    <n v="6000"/>
  </r>
  <r>
    <n v="346"/>
    <x v="345"/>
    <s v="Md. Tarmin Hosen Rana"/>
    <x v="3"/>
    <s v="Line Operator"/>
    <x v="2"/>
    <s v="Probation"/>
    <d v="2024-07-11T00:00:00"/>
    <x v="40"/>
    <s v="Male"/>
    <s v="Single"/>
    <s v="O+"/>
    <s v="Hossen Market"/>
    <s v="1km -3km"/>
    <s v="Active"/>
    <n v="6000"/>
  </r>
  <r>
    <n v="347"/>
    <x v="346"/>
    <s v="Md. Sobuz Ahmed Shuvo"/>
    <x v="2"/>
    <s v="Line Operator"/>
    <x v="2"/>
    <s v="Probation"/>
    <d v="2024-07-11T00:00:00"/>
    <x v="40"/>
    <s v="Male"/>
    <s v="Single"/>
    <s v="O+"/>
    <s v="Bason"/>
    <s v="5km-10km"/>
    <s v="Active"/>
    <n v="6000"/>
  </r>
  <r>
    <n v="348"/>
    <x v="347"/>
    <s v="Suvha Chandra Sarker"/>
    <x v="2"/>
    <s v="Line Operator"/>
    <x v="2"/>
    <s v="Probation"/>
    <d v="2024-07-12T00:00:00"/>
    <x v="41"/>
    <s v="Male"/>
    <s v="Single"/>
    <s v="B+"/>
    <s v="Gazipur Sadar"/>
    <s v="10-15km"/>
    <s v="Active"/>
    <n v="6000"/>
  </r>
  <r>
    <n v="349"/>
    <x v="348"/>
    <s v="Sima Roy"/>
    <x v="2"/>
    <s v="Line Operator"/>
    <x v="2"/>
    <s v="Probation"/>
    <d v="2024-07-14T00:00:00"/>
    <x v="42"/>
    <s v="Female"/>
    <s v="Married"/>
    <s v="B+"/>
    <s v="Gazipura 27"/>
    <s v="1km -3km"/>
    <s v="Active"/>
    <n v="6000"/>
  </r>
  <r>
    <n v="350"/>
    <x v="349"/>
    <s v="Rabeya Akter Tanjila"/>
    <x v="2"/>
    <s v="Line Operator"/>
    <x v="2"/>
    <s v="Probation"/>
    <d v="2024-07-15T00:00:00"/>
    <x v="43"/>
    <s v="Female"/>
    <s v="Single"/>
    <s v="AB+"/>
    <s v="Ershad Nagar"/>
    <s v="1km -3km"/>
    <s v="Active"/>
    <n v="6000"/>
  </r>
  <r>
    <n v="351"/>
    <x v="350"/>
    <s v="Md. Shanto Mia"/>
    <x v="5"/>
    <s v="Line Operator"/>
    <x v="2"/>
    <s v="Probation"/>
    <d v="2024-07-15T00:00:00"/>
    <x v="43"/>
    <s v="Male"/>
    <s v="Single"/>
    <s v="B+"/>
    <s v="Gazipura 27"/>
    <s v="1km -3km"/>
    <s v="Active"/>
    <n v="6000"/>
  </r>
  <r>
    <n v="352"/>
    <x v="351"/>
    <s v="Rakib Kazi"/>
    <x v="3"/>
    <s v="Line Operator"/>
    <x v="2"/>
    <s v="Probation"/>
    <d v="2024-07-15T00:00:00"/>
    <x v="43"/>
    <s v="Male"/>
    <s v="Single"/>
    <s v="N/A"/>
    <s v="Ershad Nagar"/>
    <s v="1km -3km"/>
    <s v="Active"/>
    <n v="6000"/>
  </r>
  <r>
    <n v="353"/>
    <x v="352"/>
    <s v="Aminul Islam Pappu"/>
    <x v="0"/>
    <s v="Line Operator"/>
    <x v="2"/>
    <s v="Probation"/>
    <d v="2024-07-15T00:00:00"/>
    <x v="43"/>
    <s v="Male"/>
    <s v="Single"/>
    <s v="O+"/>
    <s v="Ershad Nagar"/>
    <s v="1km -3km"/>
    <s v="Active"/>
    <n v="6000"/>
  </r>
  <r>
    <n v="354"/>
    <x v="353"/>
    <s v="Nazmul Akondo"/>
    <x v="0"/>
    <s v="Line Operator"/>
    <x v="2"/>
    <s v="Probation"/>
    <d v="2024-07-15T00:00:00"/>
    <x v="43"/>
    <s v="Male"/>
    <s v="Single"/>
    <s v="A+"/>
    <s v="Board Bazar"/>
    <s v="3km-5km"/>
    <s v="Active"/>
    <n v="6000"/>
  </r>
  <r>
    <n v="355"/>
    <x v="354"/>
    <s v="Md. Ripon Sheikh"/>
    <x v="5"/>
    <s v="Line Operator"/>
    <x v="2"/>
    <s v="Probation"/>
    <d v="2024-07-18T00:00:00"/>
    <x v="44"/>
    <s v="Male"/>
    <s v="Married"/>
    <s v="O-"/>
    <s v="Gazipura 27"/>
    <s v="1km -3km"/>
    <s v="Active"/>
    <n v="6000"/>
  </r>
  <r>
    <n v="356"/>
    <x v="355"/>
    <s v="Hamim Zubaed Shuvo"/>
    <x v="3"/>
    <s v="Line Operator"/>
    <x v="2"/>
    <s v="Probation"/>
    <d v="2024-07-19T00:00:00"/>
    <x v="45"/>
    <s v="Male"/>
    <s v="Single"/>
    <s v="O+"/>
    <s v="Gazipura 27"/>
    <s v="1km -3km"/>
    <s v="Active"/>
    <n v="6000"/>
  </r>
  <r>
    <n v="357"/>
    <x v="356"/>
    <s v="Md. Samiul Islam"/>
    <x v="2"/>
    <s v="Line Operator"/>
    <x v="2"/>
    <s v="Probation"/>
    <d v="2024-07-19T00:00:00"/>
    <x v="45"/>
    <s v="Male"/>
    <s v="Single"/>
    <s v="O+"/>
    <s v="Gazipura 27"/>
    <s v="1km -3km"/>
    <s v="Active"/>
    <n v="6000"/>
  </r>
  <r>
    <n v="358"/>
    <x v="357"/>
    <s v="Easrat Jahan"/>
    <x v="3"/>
    <s v="Line Operator"/>
    <x v="2"/>
    <s v="Probation"/>
    <d v="2024-07-19T00:00:00"/>
    <x v="45"/>
    <s v="Female"/>
    <s v="Single"/>
    <s v="O+"/>
    <s v="Ershad Nagar"/>
    <s v="1km -3km"/>
    <s v="Active"/>
    <n v="6000"/>
  </r>
  <r>
    <n v="359"/>
    <x v="358"/>
    <s v="Sadia Akter Nitu"/>
    <x v="0"/>
    <s v="Line Operator"/>
    <x v="2"/>
    <s v="Probation"/>
    <d v="2024-07-21T00:00:00"/>
    <x v="46"/>
    <s v="Female"/>
    <s v="Single"/>
    <s v="N/A"/>
    <s v="Ershad Nagar"/>
    <s v="1km -3km"/>
    <s v="Active"/>
    <n v="6000"/>
  </r>
  <r>
    <n v="360"/>
    <x v="359"/>
    <s v="Isahik Kazi"/>
    <x v="3"/>
    <s v="Line Operator"/>
    <x v="2"/>
    <s v="Probation"/>
    <d v="2024-07-21T00:00:00"/>
    <x v="46"/>
    <s v="Male"/>
    <s v="Single"/>
    <s v="A+"/>
    <s v="Gazipura 27"/>
    <s v="1km -3km"/>
    <s v="Active"/>
    <n v="6000"/>
  </r>
  <r>
    <n v="361"/>
    <x v="360"/>
    <s v="Md. Asharat Hossain"/>
    <x v="5"/>
    <s v="Line Operator"/>
    <x v="2"/>
    <s v="Probation"/>
    <d v="2024-07-23T00:00:00"/>
    <x v="47"/>
    <s v="Male"/>
    <s v="Single"/>
    <s v="B+"/>
    <s v="Gazipura 27"/>
    <s v="1km -3km"/>
    <s v="Active"/>
    <n v="6000"/>
  </r>
  <r>
    <n v="362"/>
    <x v="361"/>
    <s v="Mst. Asma Begum"/>
    <x v="2"/>
    <s v="Line Operator"/>
    <x v="2"/>
    <s v="Probation"/>
    <d v="2024-07-23T00:00:00"/>
    <x v="47"/>
    <s v="Female"/>
    <s v="Single"/>
    <s v="B+"/>
    <s v="Gazipura 27"/>
    <s v="1km -3km"/>
    <s v="Active"/>
    <n v="6000"/>
  </r>
  <r>
    <n v="363"/>
    <x v="362"/>
    <s v="Miss. Rima Khatun"/>
    <x v="0"/>
    <s v="Line Operator"/>
    <x v="2"/>
    <s v="Probation"/>
    <d v="2024-07-26T00:00:00"/>
    <x v="48"/>
    <s v="Female"/>
    <s v="Married"/>
    <s v="AB+"/>
    <s v="Gazipura 27"/>
    <s v="1km -3km"/>
    <s v="Active"/>
    <n v="6000"/>
  </r>
  <r>
    <n v="364"/>
    <x v="363"/>
    <s v="Md. Ariful Islam"/>
    <x v="3"/>
    <s v="Line Operator"/>
    <x v="2"/>
    <s v="Probation"/>
    <d v="2024-07-30T00:00:00"/>
    <x v="49"/>
    <s v="Male"/>
    <s v="Single"/>
    <s v="A+"/>
    <s v="Gazipura 27"/>
    <s v="1km -3km"/>
    <s v="Active"/>
    <n v="6000"/>
  </r>
  <r>
    <n v="365"/>
    <x v="364"/>
    <s v="Md. Nazmul Hassan"/>
    <x v="3"/>
    <s v="Line Operator"/>
    <x v="2"/>
    <s v="Probation"/>
    <d v="2024-08-01T00:00:00"/>
    <x v="50"/>
    <s v="Male"/>
    <s v="Single"/>
    <s v="O+"/>
    <s v="Gazipura 27"/>
    <s v="1km -3km"/>
    <s v="Active"/>
    <n v="6000"/>
  </r>
  <r>
    <n v="366"/>
    <x v="365"/>
    <s v="Reshma Rahman"/>
    <x v="0"/>
    <s v="Line Operator"/>
    <x v="2"/>
    <s v="Probation"/>
    <d v="2024-08-02T00:00:00"/>
    <x v="51"/>
    <s v="Female"/>
    <s v="Single"/>
    <s v="A+"/>
    <s v="Ershad Nagar"/>
    <s v="1km -3km"/>
    <s v="Active"/>
    <n v="6000"/>
  </r>
  <r>
    <n v="367"/>
    <x v="366"/>
    <s v="Tamanna Sultana Mim"/>
    <x v="0"/>
    <s v="Line Operator"/>
    <x v="2"/>
    <s v="Probation"/>
    <d v="2024-08-02T00:00:00"/>
    <x v="51"/>
    <s v="Female"/>
    <s v="Married"/>
    <s v="B+"/>
    <s v="Sign board"/>
    <s v="3km-5km"/>
    <s v="Active"/>
    <n v="6000"/>
  </r>
  <r>
    <n v="368"/>
    <x v="367"/>
    <s v="Kulsum Akter Mala"/>
    <x v="0"/>
    <s v="Line Operator"/>
    <x v="2"/>
    <s v="Probation"/>
    <d v="2024-08-02T00:00:00"/>
    <x v="51"/>
    <s v="Female"/>
    <s v="Single"/>
    <s v="B+"/>
    <s v="Ershad Nagar"/>
    <s v="1km -3km"/>
    <s v="Active"/>
    <n v="6000"/>
  </r>
  <r>
    <n v="369"/>
    <x v="368"/>
    <s v="Saruf Ahmed Antar"/>
    <x v="0"/>
    <s v="Line Operator"/>
    <x v="2"/>
    <s v="Probation"/>
    <d v="2024-08-02T00:00:00"/>
    <x v="51"/>
    <s v="Male"/>
    <s v="Single"/>
    <s v="B+"/>
    <s v="Ershad Nagar"/>
    <s v="1km -3km"/>
    <s v="Active"/>
    <n v="6000"/>
  </r>
  <r>
    <n v="370"/>
    <x v="369"/>
    <s v="Md. Saikhul Islam Siam"/>
    <x v="0"/>
    <s v="Line Operator"/>
    <x v="2"/>
    <s v="Probation"/>
    <d v="2024-08-02T00:00:00"/>
    <x v="51"/>
    <s v="Male"/>
    <s v="Single"/>
    <s v="O+"/>
    <s v="Board Bazar"/>
    <s v="3km-5km"/>
    <s v="Active"/>
    <n v="6000"/>
  </r>
  <r>
    <n v="371"/>
    <x v="370"/>
    <s v="Bishwajit Mandal"/>
    <x v="0"/>
    <s v="Line Operator"/>
    <x v="2"/>
    <s v="Probation"/>
    <d v="2024-08-02T00:00:00"/>
    <x v="51"/>
    <s v="Male"/>
    <s v="Single"/>
    <s v="A+"/>
    <s v="Board Bazar"/>
    <s v="3km-5km"/>
    <s v="Active"/>
    <n v="6000"/>
  </r>
  <r>
    <n v="372"/>
    <x v="371"/>
    <s v="Riaj Uddin"/>
    <x v="0"/>
    <s v="Line Operator"/>
    <x v="2"/>
    <s v="Probation"/>
    <d v="2024-08-02T00:00:00"/>
    <x v="51"/>
    <s v="Male"/>
    <s v="Single"/>
    <s v="B+"/>
    <s v="Bonmala Road"/>
    <s v="3km-5km"/>
    <s v="Active"/>
    <n v="6000"/>
  </r>
  <r>
    <n v="373"/>
    <x v="372"/>
    <s v="Akia Akter"/>
    <x v="0"/>
    <s v="Line Operator"/>
    <x v="2"/>
    <s v="Probation"/>
    <d v="2024-08-02T00:00:00"/>
    <x v="51"/>
    <s v="Female"/>
    <s v="Single"/>
    <s v="A+"/>
    <s v="Ershad Nagar"/>
    <s v="1km -3km"/>
    <s v="Active"/>
    <n v="6000"/>
  </r>
  <r>
    <n v="374"/>
    <x v="373"/>
    <s v="Md. Sojib Mia"/>
    <x v="0"/>
    <s v="Line Operator"/>
    <x v="2"/>
    <s v="Probation"/>
    <d v="2024-08-02T00:00:00"/>
    <x v="51"/>
    <s v="Male"/>
    <s v="Single"/>
    <s v="B+"/>
    <s v="Gazipura 27"/>
    <s v="1km -3km"/>
    <s v="Active"/>
    <n v="6000"/>
  </r>
  <r>
    <n v="375"/>
    <x v="374"/>
    <s v="Akash Ahmed"/>
    <x v="0"/>
    <s v="Line Operator"/>
    <x v="2"/>
    <s v="Probation"/>
    <d v="2024-08-02T00:00:00"/>
    <x v="51"/>
    <s v="Male"/>
    <s v="Single"/>
    <s v="O+"/>
    <s v="Charagali"/>
    <s v="3km-5km"/>
    <s v="Active"/>
    <n v="6000"/>
  </r>
  <r>
    <n v="376"/>
    <x v="375"/>
    <s v="Sahriar Hossain Fahim"/>
    <x v="2"/>
    <s v="Line Operator"/>
    <x v="2"/>
    <s v="Probation"/>
    <d v="2024-08-03T00:00:00"/>
    <x v="52"/>
    <s v="Male"/>
    <s v="Single"/>
    <s v="O+"/>
    <s v="Hossen Market"/>
    <s v="1km -3km"/>
    <s v="Active"/>
    <n v="6000"/>
  </r>
  <r>
    <n v="377"/>
    <x v="376"/>
    <s v="Sumaiya Akter Mim"/>
    <x v="5"/>
    <s v="Line Operator"/>
    <x v="2"/>
    <s v="Probation"/>
    <d v="2024-08-04T00:00:00"/>
    <x v="53"/>
    <s v="Female"/>
    <s v="Single"/>
    <s v="N/A"/>
    <s v="Ershad Nagar"/>
    <s v="1km -3km"/>
    <s v="Active"/>
    <n v="6000"/>
  </r>
  <r>
    <n v="378"/>
    <x v="377"/>
    <s v="Md. Azizul Hakim Akash"/>
    <x v="2"/>
    <s v="Line Operator"/>
    <x v="2"/>
    <s v="Probation"/>
    <d v="2024-08-04T00:00:00"/>
    <x v="53"/>
    <s v="Male"/>
    <s v="Single"/>
    <s v="AB+"/>
    <s v="Board Bazar"/>
    <s v="3km-5km"/>
    <s v="Active"/>
    <n v="6000"/>
  </r>
  <r>
    <n v="379"/>
    <x v="378"/>
    <s v="Md. Mehedi Hasan"/>
    <x v="3"/>
    <s v="Line Operator"/>
    <x v="2"/>
    <s v="Probation"/>
    <d v="2024-08-04T00:00:00"/>
    <x v="53"/>
    <s v="Male"/>
    <s v="Single"/>
    <s v="A+"/>
    <s v="Gazipura 27"/>
    <s v="1km -3km"/>
    <s v="Active"/>
    <n v="6000"/>
  </r>
  <r>
    <n v="380"/>
    <x v="379"/>
    <s v="Md. Safayet Hossain Rifat"/>
    <x v="2"/>
    <s v="Line Operator"/>
    <x v="2"/>
    <s v="Probation"/>
    <d v="2024-08-04T00:00:00"/>
    <x v="53"/>
    <s v="Male"/>
    <s v="Single"/>
    <s v="O+"/>
    <s v="Hossen Market"/>
    <s v="1km -3km"/>
    <s v="Active"/>
    <n v="6000"/>
  </r>
  <r>
    <n v="381"/>
    <x v="380"/>
    <s v="Dipta Halder"/>
    <x v="6"/>
    <s v="Line Operator"/>
    <x v="2"/>
    <s v="Probation"/>
    <d v="2024-08-04T00:00:00"/>
    <x v="53"/>
    <s v="Male"/>
    <s v="Single"/>
    <s v="AB+"/>
    <s v="Ershad Nagar"/>
    <s v="1km -3km"/>
    <s v="Active"/>
    <n v="6000"/>
  </r>
  <r>
    <n v="382"/>
    <x v="381"/>
    <s v="Md. Tarikul Islam Nahid"/>
    <x v="0"/>
    <s v="Line Operator"/>
    <x v="2"/>
    <s v="Probation"/>
    <d v="2024-08-04T00:00:00"/>
    <x v="53"/>
    <s v="Male"/>
    <s v="Single"/>
    <s v="B-"/>
    <s v="Gazipur Sadar"/>
    <s v="10-15km"/>
    <s v="Active"/>
    <n v="6000"/>
  </r>
  <r>
    <n v="383"/>
    <x v="382"/>
    <s v="Jonaky"/>
    <x v="0"/>
    <s v="Line Operator"/>
    <x v="2"/>
    <s v="Probation"/>
    <d v="2024-08-05T00:00:00"/>
    <x v="54"/>
    <s v="Female"/>
    <s v="Single"/>
    <s v="B+"/>
    <s v="Board Bazar"/>
    <s v="3km-5km"/>
    <s v="Active"/>
    <n v="6000"/>
  </r>
  <r>
    <n v="384"/>
    <x v="383"/>
    <s v="Nahid Khan"/>
    <x v="2"/>
    <s v="Line Operator"/>
    <x v="2"/>
    <s v="Probation"/>
    <d v="2024-08-05T00:00:00"/>
    <x v="54"/>
    <s v="Male"/>
    <s v="Single"/>
    <s v="O-"/>
    <s v="Hossen Market"/>
    <s v="1km -3km"/>
    <s v="Active"/>
    <n v="6000"/>
  </r>
  <r>
    <n v="385"/>
    <x v="384"/>
    <s v="Abu Hanif "/>
    <x v="3"/>
    <s v="Line Operator"/>
    <x v="2"/>
    <s v="Probation"/>
    <d v="2024-08-05T00:00:00"/>
    <x v="54"/>
    <s v="Male"/>
    <s v="Single"/>
    <s v="B+"/>
    <s v="Gazipura 27"/>
    <s v="1km -3km"/>
    <s v="Active"/>
    <n v="6000"/>
  </r>
  <r>
    <n v="386"/>
    <x v="385"/>
    <s v="Md. Jubail Islam"/>
    <x v="2"/>
    <s v="Line Operator"/>
    <x v="2"/>
    <s v="Probation"/>
    <d v="2024-08-05T00:00:00"/>
    <x v="54"/>
    <s v="Male"/>
    <s v="Single"/>
    <s v="B+"/>
    <s v="Gazipura 27"/>
    <s v="1km -3km"/>
    <s v="Active"/>
    <n v="6000"/>
  </r>
  <r>
    <n v="387"/>
    <x v="386"/>
    <s v="Adithy Roy"/>
    <x v="2"/>
    <s v="Line Operator"/>
    <x v="2"/>
    <s v="Probation"/>
    <d v="2024-08-05T00:00:00"/>
    <x v="54"/>
    <s v="Female"/>
    <s v="Single"/>
    <s v="B+"/>
    <s v="Hossen Market"/>
    <s v="1km -3km"/>
    <s v="Active"/>
    <n v="6000"/>
  </r>
  <r>
    <n v="388"/>
    <x v="387"/>
    <s v="Md. Nayon Mia"/>
    <x v="0"/>
    <s v="Line Operator"/>
    <x v="2"/>
    <s v="Probation"/>
    <d v="2024-08-05T00:00:00"/>
    <x v="54"/>
    <s v="Male"/>
    <s v="Single"/>
    <s v="A+"/>
    <s v="Gazipura 27"/>
    <s v="1km -3km"/>
    <s v="Active"/>
    <n v="6000"/>
  </r>
  <r>
    <n v="389"/>
    <x v="388"/>
    <s v="Nur Rahman"/>
    <x v="0"/>
    <s v="Line Operator"/>
    <x v="2"/>
    <s v="Probation"/>
    <d v="2024-08-05T00:00:00"/>
    <x v="54"/>
    <s v="Male"/>
    <s v="Single"/>
    <s v="O+"/>
    <s v="Gazipur Sadar"/>
    <s v="10-15km"/>
    <s v="Active"/>
    <n v="6000"/>
  </r>
  <r>
    <n v="390"/>
    <x v="389"/>
    <s v="Md. Jobber Hossain"/>
    <x v="0"/>
    <s v="Line Operator"/>
    <x v="2"/>
    <s v="Probation"/>
    <d v="2024-08-05T00:00:00"/>
    <x v="54"/>
    <s v="Male"/>
    <s v="Single"/>
    <s v="B+"/>
    <s v="Boro Bari"/>
    <s v="3km-5km"/>
    <s v="Active"/>
    <n v="6000"/>
  </r>
  <r>
    <n v="391"/>
    <x v="390"/>
    <s v="Mst. Rokeya Roni"/>
    <x v="2"/>
    <s v="Line Operator"/>
    <x v="2"/>
    <s v="Probation"/>
    <d v="2024-08-06T00:00:00"/>
    <x v="55"/>
    <s v="Female"/>
    <s v="Single"/>
    <s v="O+"/>
    <s v="Gazipura 27"/>
    <s v="1km -3km"/>
    <s v="Active"/>
    <n v="6000"/>
  </r>
  <r>
    <n v="392"/>
    <x v="391"/>
    <s v="Mahadul Islam"/>
    <x v="5"/>
    <s v="Line Operator"/>
    <x v="2"/>
    <s v="Probation"/>
    <d v="2024-08-06T00:00:00"/>
    <x v="55"/>
    <s v="Male"/>
    <s v="Married"/>
    <s v="A+"/>
    <s v="Gazipura 27"/>
    <s v="1km -3km"/>
    <s v="Active"/>
    <n v="6000"/>
  </r>
  <r>
    <n v="393"/>
    <x v="392"/>
    <s v="Lamya Islam Tanjila"/>
    <x v="2"/>
    <s v="Line Operator"/>
    <x v="2"/>
    <s v="Probation"/>
    <d v="2024-08-06T00:00:00"/>
    <x v="55"/>
    <s v="Female"/>
    <s v="Single"/>
    <s v="O+"/>
    <s v="Gazipura 27"/>
    <s v="1km -3km"/>
    <s v="Active"/>
    <n v="6000"/>
  </r>
  <r>
    <n v="394"/>
    <x v="393"/>
    <s v="Afsana Akter"/>
    <x v="3"/>
    <s v="Line Operator"/>
    <x v="2"/>
    <s v="Probation"/>
    <d v="2024-08-08T00:00:00"/>
    <x v="56"/>
    <s v="Female"/>
    <s v="Single"/>
    <s v="B+"/>
    <s v="Gacha"/>
    <s v="3km-5km"/>
    <s v="Active"/>
    <n v="6000"/>
  </r>
  <r>
    <n v="395"/>
    <x v="394"/>
    <s v="Md. Mosarof Hosen"/>
    <x v="2"/>
    <s v="Line Operator"/>
    <x v="2"/>
    <s v="Probation"/>
    <d v="2024-08-08T00:00:00"/>
    <x v="56"/>
    <s v="Male"/>
    <s v="Single"/>
    <s v="A+"/>
    <s v="Board Bazar"/>
    <s v="3km-5km"/>
    <s v="Active"/>
    <n v="6000"/>
  </r>
  <r>
    <n v="396"/>
    <x v="395"/>
    <s v="Muhammad Hossain Al Fahim"/>
    <x v="6"/>
    <s v="Senior Eecutive"/>
    <x v="1"/>
    <s v="Probation"/>
    <d v="2024-08-09T00:00:00"/>
    <x v="57"/>
    <s v="Male"/>
    <s v="Married"/>
    <s v="O+"/>
    <s v="Bashundhara"/>
    <s v="10-15km"/>
    <s v="Active"/>
    <n v="6000"/>
  </r>
  <r>
    <n v="397"/>
    <x v="396"/>
    <s v="Md. Rayhan Sarker"/>
    <x v="0"/>
    <s v="Line Operator"/>
    <x v="2"/>
    <s v="Probation"/>
    <d v="2024-08-10T00:00:00"/>
    <x v="58"/>
    <s v="Male"/>
    <s v="Single"/>
    <s v="AB+"/>
    <s v="Boro Bari"/>
    <s v="3km-5km"/>
    <s v="Active"/>
    <n v="6000"/>
  </r>
  <r>
    <n v="398"/>
    <x v="397"/>
    <s v="Suma Akter"/>
    <x v="0"/>
    <s v="Line Operator"/>
    <x v="2"/>
    <s v="Probation"/>
    <d v="2024-08-11T00:00:00"/>
    <x v="59"/>
    <s v="Female"/>
    <s v="Single"/>
    <s v="AB-"/>
    <s v="Board Bazar"/>
    <s v="3km-5km"/>
    <s v="Active"/>
    <n v="6000"/>
  </r>
  <r>
    <n v="399"/>
    <x v="398"/>
    <s v="Md. Shakil Hossain"/>
    <x v="2"/>
    <s v="Line Operator"/>
    <x v="2"/>
    <s v="Probation"/>
    <d v="2024-08-13T00:00:00"/>
    <x v="60"/>
    <s v="Male"/>
    <s v="Single"/>
    <s v="O+"/>
    <s v="Gacha"/>
    <s v="3km-5km"/>
    <s v="Active"/>
    <n v="6000"/>
  </r>
  <r>
    <n v="400"/>
    <x v="399"/>
    <s v="Mst. Somaiya Khanom Sumi"/>
    <x v="3"/>
    <s v="Line Operator"/>
    <x v="2"/>
    <s v="Probation"/>
    <d v="2024-08-13T00:00:00"/>
    <x v="60"/>
    <s v="Female"/>
    <s v="Single"/>
    <s v="O+"/>
    <s v="Gazipura 27"/>
    <s v="1km -3km"/>
    <s v="Active"/>
    <n v="6000"/>
  </r>
  <r>
    <n v="401"/>
    <x v="400"/>
    <s v="Tamim Banu"/>
    <x v="2"/>
    <s v="Line Operator"/>
    <x v="2"/>
    <s v="Probation"/>
    <d v="2024-08-13T00:00:00"/>
    <x v="60"/>
    <s v="Female"/>
    <s v="Single"/>
    <s v="A+"/>
    <s v="Gazipur Sadar"/>
    <s v="10-15km"/>
    <s v="Active"/>
    <n v="6000"/>
  </r>
  <r>
    <n v="402"/>
    <x v="401"/>
    <s v="Eshita Akter"/>
    <x v="2"/>
    <s v="Line Operator"/>
    <x v="2"/>
    <s v="Probation"/>
    <d v="2024-08-13T00:00:00"/>
    <x v="60"/>
    <s v="Female"/>
    <s v="Single"/>
    <s v="B+"/>
    <s v="Gazipura 27"/>
    <s v="1km -3km"/>
    <s v="Active"/>
    <n v="30000"/>
  </r>
  <r>
    <n v="403"/>
    <x v="402"/>
    <s v="Mst. Labony Akter"/>
    <x v="0"/>
    <s v="Line Operator"/>
    <x v="2"/>
    <s v="Probation"/>
    <d v="2024-08-13T00:00:00"/>
    <x v="60"/>
    <s v="Female"/>
    <s v="Single"/>
    <s v="A+"/>
    <s v="Gacha"/>
    <s v="3km-5km"/>
    <s v="Active"/>
    <n v="30000"/>
  </r>
  <r>
    <n v="404"/>
    <x v="403"/>
    <s v="Fareya Sultana"/>
    <x v="3"/>
    <s v="Line Operator"/>
    <x v="2"/>
    <s v="Probation"/>
    <d v="2024-08-13T00:00:00"/>
    <x v="60"/>
    <s v="Female"/>
    <s v="Single"/>
    <s v="B+"/>
    <s v="Gazipura 27"/>
    <s v="1km -3km"/>
    <s v="Active"/>
    <n v="30000"/>
  </r>
  <r>
    <n v="405"/>
    <x v="404"/>
    <s v="Md. Shahajalal"/>
    <x v="3"/>
    <s v="Line Operator"/>
    <x v="2"/>
    <s v="Probation"/>
    <d v="2024-08-13T00:00:00"/>
    <x v="60"/>
    <s v="Male"/>
    <s v="Single"/>
    <s v="B+"/>
    <s v="Gazipura 27"/>
    <s v="1km -3km"/>
    <s v="Active"/>
    <n v="30000"/>
  </r>
  <r>
    <n v="406"/>
    <x v="405"/>
    <s v="Md. Alamin Hossain"/>
    <x v="2"/>
    <s v="Line Operator"/>
    <x v="2"/>
    <s v="Probation"/>
    <d v="2024-08-15T00:00:00"/>
    <x v="61"/>
    <s v="Male"/>
    <s v="Single"/>
    <s v="A+"/>
    <s v="Gazipura 27"/>
    <s v="1km -3km"/>
    <s v="Active"/>
    <n v="30000"/>
  </r>
  <r>
    <n v="407"/>
    <x v="406"/>
    <s v="Abdullah Al Mamun"/>
    <x v="2"/>
    <s v="Line Operator"/>
    <x v="2"/>
    <s v="Probation"/>
    <d v="2024-08-31T00:00:00"/>
    <x v="62"/>
    <s v="Male"/>
    <s v="Single"/>
    <s v="O+"/>
    <s v="Gazipura 27"/>
    <s v="1km -3km"/>
    <s v="Active"/>
    <n v="30000"/>
  </r>
  <r>
    <n v="408"/>
    <x v="407"/>
    <s v="Md. Abdullah"/>
    <x v="1"/>
    <s v="Support Staff"/>
    <x v="0"/>
    <s v="Probation"/>
    <d v="2024-10-14T00:00:00"/>
    <x v="63"/>
    <s v="Male"/>
    <s v="Single"/>
    <s v="B+"/>
    <s v="Tongi Bazar"/>
    <s v="5-10km"/>
    <s v="Active"/>
    <n v="30000"/>
  </r>
  <r>
    <n v="409"/>
    <x v="408"/>
    <s v="Md. Abdullah Al Ripon"/>
    <x v="3"/>
    <s v="Manager"/>
    <x v="1"/>
    <s v="Probation"/>
    <d v="2024-10-29T00:00:00"/>
    <x v="64"/>
    <s v="Male"/>
    <s v="Married"/>
    <s v="O+"/>
    <s v="Kaliakoir"/>
    <s v="20km-30km"/>
    <s v="Active"/>
    <n v="3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n v="1"/>
    <s v="ACX1"/>
    <s v="Shanta Priya"/>
    <x v="0"/>
    <x v="0"/>
    <x v="0"/>
    <x v="0"/>
    <x v="0"/>
    <x v="0"/>
    <x v="0"/>
    <x v="0"/>
    <x v="0"/>
    <s v="Gazipura 27"/>
    <x v="0"/>
    <x v="0"/>
    <n v="10000"/>
  </r>
  <r>
    <n v="2"/>
    <s v="ACX2"/>
    <s v="Md. Abdul Kader"/>
    <x v="1"/>
    <x v="0"/>
    <x v="1"/>
    <x v="1"/>
    <x v="1"/>
    <x v="1"/>
    <x v="0"/>
    <x v="0"/>
    <x v="1"/>
    <s v="Gazipura 27"/>
    <x v="0"/>
    <x v="1"/>
    <n v="2500"/>
  </r>
  <r>
    <n v="3"/>
    <s v="ACX3"/>
    <s v="Md. Sagor Hossain"/>
    <x v="2"/>
    <x v="0"/>
    <x v="0"/>
    <x v="0"/>
    <x v="2"/>
    <x v="2"/>
    <x v="0"/>
    <x v="1"/>
    <x v="2"/>
    <s v="Uttara"/>
    <x v="1"/>
    <x v="2"/>
    <n v="500"/>
  </r>
  <r>
    <n v="4"/>
    <s v="ACX4"/>
    <s v="Masud Islam Fahim"/>
    <x v="3"/>
    <x v="1"/>
    <x v="1"/>
    <x v="0"/>
    <x v="3"/>
    <x v="3"/>
    <x v="0"/>
    <x v="1"/>
    <x v="1"/>
    <s v="Bonmala Road"/>
    <x v="2"/>
    <x v="0"/>
    <n v="10000"/>
  </r>
  <r>
    <n v="5"/>
    <s v="ACX5"/>
    <s v="Md. Manik Mia"/>
    <x v="2"/>
    <x v="0"/>
    <x v="1"/>
    <x v="1"/>
    <x v="4"/>
    <x v="4"/>
    <x v="0"/>
    <x v="0"/>
    <x v="2"/>
    <s v="Khilkhet"/>
    <x v="3"/>
    <x v="0"/>
    <n v="10000"/>
  </r>
  <r>
    <n v="6"/>
    <s v="ACX6"/>
    <s v="Md. Shajibur Rahaman"/>
    <x v="3"/>
    <x v="0"/>
    <x v="1"/>
    <x v="0"/>
    <x v="4"/>
    <x v="4"/>
    <x v="0"/>
    <x v="0"/>
    <x v="0"/>
    <s v="Gazipura 27"/>
    <x v="0"/>
    <x v="0"/>
    <n v="10000"/>
  </r>
  <r>
    <n v="7"/>
    <s v="ACX7"/>
    <s v="Limon"/>
    <x v="2"/>
    <x v="0"/>
    <x v="1"/>
    <x v="0"/>
    <x v="5"/>
    <x v="5"/>
    <x v="0"/>
    <x v="1"/>
    <x v="2"/>
    <s v="Gazipura 27"/>
    <x v="0"/>
    <x v="0"/>
    <n v="10000"/>
  </r>
  <r>
    <n v="8"/>
    <s v="ACX8"/>
    <s v="Arman Hossen"/>
    <x v="3"/>
    <x v="0"/>
    <x v="0"/>
    <x v="0"/>
    <x v="6"/>
    <x v="6"/>
    <x v="0"/>
    <x v="0"/>
    <x v="3"/>
    <s v="Gazipura 27"/>
    <x v="0"/>
    <x v="0"/>
    <n v="523"/>
  </r>
  <r>
    <n v="9"/>
    <s v="ACX9"/>
    <s v="Md. Raju Mia"/>
    <x v="3"/>
    <x v="0"/>
    <x v="1"/>
    <x v="0"/>
    <x v="6"/>
    <x v="6"/>
    <x v="0"/>
    <x v="0"/>
    <x v="1"/>
    <s v="Gazipura 27"/>
    <x v="0"/>
    <x v="0"/>
    <n v="10000"/>
  </r>
  <r>
    <n v="10"/>
    <s v="ACX10"/>
    <s v="Md. Ammar Hossain"/>
    <x v="2"/>
    <x v="0"/>
    <x v="1"/>
    <x v="0"/>
    <x v="7"/>
    <x v="7"/>
    <x v="0"/>
    <x v="1"/>
    <x v="2"/>
    <s v="Gazipura 27"/>
    <x v="0"/>
    <x v="0"/>
    <n v="216363"/>
  </r>
  <r>
    <n v="11"/>
    <s v="ACX11"/>
    <s v="Nadim Al Kamal Murad"/>
    <x v="2"/>
    <x v="0"/>
    <x v="0"/>
    <x v="0"/>
    <x v="8"/>
    <x v="8"/>
    <x v="0"/>
    <x v="1"/>
    <x v="2"/>
    <s v="Bonmala Road"/>
    <x v="2"/>
    <x v="0"/>
    <n v="10000"/>
  </r>
  <r>
    <n v="12"/>
    <s v="ACX12"/>
    <s v="Manik Sharker"/>
    <x v="2"/>
    <x v="0"/>
    <x v="1"/>
    <x v="0"/>
    <x v="9"/>
    <x v="9"/>
    <x v="0"/>
    <x v="1"/>
    <x v="3"/>
    <s v="Gazipura 27"/>
    <x v="0"/>
    <x v="0"/>
    <n v="10000"/>
  </r>
  <r>
    <n v="13"/>
    <s v="ACX13"/>
    <s v="Samiul Hoque"/>
    <x v="3"/>
    <x v="0"/>
    <x v="1"/>
    <x v="0"/>
    <x v="9"/>
    <x v="9"/>
    <x v="0"/>
    <x v="1"/>
    <x v="0"/>
    <s v="Gazipur Chowrasta"/>
    <x v="1"/>
    <x v="0"/>
    <n v="525"/>
  </r>
  <r>
    <n v="14"/>
    <s v="ACX14"/>
    <s v="Rashid Mahmud"/>
    <x v="3"/>
    <x v="0"/>
    <x v="1"/>
    <x v="1"/>
    <x v="9"/>
    <x v="9"/>
    <x v="0"/>
    <x v="1"/>
    <x v="4"/>
    <s v="Gazipura 27"/>
    <x v="0"/>
    <x v="0"/>
    <n v="10000"/>
  </r>
  <r>
    <n v="15"/>
    <s v="ACX15"/>
    <s v="Md. Riad Hasan"/>
    <x v="2"/>
    <x v="0"/>
    <x v="2"/>
    <x v="0"/>
    <x v="9"/>
    <x v="9"/>
    <x v="0"/>
    <x v="0"/>
    <x v="0"/>
    <s v="Gazipura 27"/>
    <x v="0"/>
    <x v="0"/>
    <n v="15265"/>
  </r>
  <r>
    <n v="16"/>
    <s v="ACX16"/>
    <s v="Md. Junied Mahtav Muin"/>
    <x v="0"/>
    <x v="0"/>
    <x v="1"/>
    <x v="0"/>
    <x v="9"/>
    <x v="9"/>
    <x v="0"/>
    <x v="1"/>
    <x v="2"/>
    <s v="Gazipura 27"/>
    <x v="0"/>
    <x v="0"/>
    <n v="10000"/>
  </r>
  <r>
    <n v="17"/>
    <s v="ACX17"/>
    <s v="Mst. Muslima"/>
    <x v="4"/>
    <x v="0"/>
    <x v="2"/>
    <x v="0"/>
    <x v="9"/>
    <x v="9"/>
    <x v="1"/>
    <x v="1"/>
    <x v="2"/>
    <s v="Gazipura 27"/>
    <x v="0"/>
    <x v="0"/>
    <n v="56"/>
  </r>
  <r>
    <n v="18"/>
    <s v="ACX18"/>
    <s v="Md. Jahid Hasan Joy"/>
    <x v="0"/>
    <x v="0"/>
    <x v="1"/>
    <x v="0"/>
    <x v="9"/>
    <x v="9"/>
    <x v="0"/>
    <x v="1"/>
    <x v="0"/>
    <s v="Gazipura 27"/>
    <x v="0"/>
    <x v="0"/>
    <n v="10000"/>
  </r>
  <r>
    <n v="19"/>
    <s v="ACX19"/>
    <s v="Reduyan Ahmed Ajmir"/>
    <x v="1"/>
    <x v="0"/>
    <x v="1"/>
    <x v="0"/>
    <x v="9"/>
    <x v="9"/>
    <x v="0"/>
    <x v="0"/>
    <x v="3"/>
    <s v="Gazipura 27"/>
    <x v="0"/>
    <x v="0"/>
    <n v="10000"/>
  </r>
  <r>
    <n v="20"/>
    <s v="ACX20"/>
    <s v="Md. Sajib Hossain"/>
    <x v="2"/>
    <x v="0"/>
    <x v="2"/>
    <x v="0"/>
    <x v="9"/>
    <x v="9"/>
    <x v="0"/>
    <x v="0"/>
    <x v="2"/>
    <s v="Gazipura 27"/>
    <x v="0"/>
    <x v="0"/>
    <n v="1662"/>
  </r>
  <r>
    <n v="21"/>
    <s v="ACX21"/>
    <s v="Rayhan Habib"/>
    <x v="3"/>
    <x v="0"/>
    <x v="2"/>
    <x v="0"/>
    <x v="9"/>
    <x v="9"/>
    <x v="0"/>
    <x v="0"/>
    <x v="2"/>
    <s v="Gazipura 27"/>
    <x v="0"/>
    <x v="0"/>
    <n v="10000"/>
  </r>
  <r>
    <n v="22"/>
    <s v="ACX22"/>
    <s v="Md. Al Amin Hossain Shanto"/>
    <x v="2"/>
    <x v="0"/>
    <x v="2"/>
    <x v="0"/>
    <x v="10"/>
    <x v="10"/>
    <x v="0"/>
    <x v="0"/>
    <x v="2"/>
    <s v="Gazipura 27"/>
    <x v="0"/>
    <x v="0"/>
    <n v="10000"/>
  </r>
  <r>
    <n v="23"/>
    <s v="ACX23"/>
    <s v="Nazmul Islam"/>
    <x v="3"/>
    <x v="0"/>
    <x v="1"/>
    <x v="0"/>
    <x v="11"/>
    <x v="11"/>
    <x v="0"/>
    <x v="1"/>
    <x v="2"/>
    <s v="Gazipura 27"/>
    <x v="0"/>
    <x v="0"/>
    <n v="6232"/>
  </r>
  <r>
    <n v="24"/>
    <s v="ACX24"/>
    <s v="Pallab Bhowmick"/>
    <x v="3"/>
    <x v="0"/>
    <x v="1"/>
    <x v="0"/>
    <x v="11"/>
    <x v="11"/>
    <x v="0"/>
    <x v="1"/>
    <x v="1"/>
    <s v="Board Bazar"/>
    <x v="2"/>
    <x v="0"/>
    <n v="10000"/>
  </r>
  <r>
    <n v="25"/>
    <s v="ACX25"/>
    <s v="Md.Aminur Rahman"/>
    <x v="3"/>
    <x v="0"/>
    <x v="1"/>
    <x v="0"/>
    <x v="12"/>
    <x v="12"/>
    <x v="0"/>
    <x v="1"/>
    <x v="0"/>
    <s v="Gazipura 27"/>
    <x v="0"/>
    <x v="0"/>
    <n v="10000"/>
  </r>
  <r>
    <n v="26"/>
    <s v="ACX26"/>
    <s v="Md.Musfiqur Rahman"/>
    <x v="0"/>
    <x v="0"/>
    <x v="1"/>
    <x v="1"/>
    <x v="13"/>
    <x v="13"/>
    <x v="0"/>
    <x v="1"/>
    <x v="2"/>
    <s v="Mohammadpur"/>
    <x v="4"/>
    <x v="0"/>
    <n v="21633"/>
  </r>
  <r>
    <n v="27"/>
    <s v="ACX27"/>
    <s v="Md.Maruf Hossen"/>
    <x v="2"/>
    <x v="0"/>
    <x v="1"/>
    <x v="1"/>
    <x v="13"/>
    <x v="13"/>
    <x v="0"/>
    <x v="1"/>
    <x v="2"/>
    <s v="Gazipur Chowrasta"/>
    <x v="1"/>
    <x v="0"/>
    <n v="10000"/>
  </r>
  <r>
    <n v="28"/>
    <s v="ACX28"/>
    <s v="Nazmul Hossain"/>
    <x v="3"/>
    <x v="0"/>
    <x v="0"/>
    <x v="1"/>
    <x v="14"/>
    <x v="14"/>
    <x v="0"/>
    <x v="1"/>
    <x v="3"/>
    <s v="Bonmala Road"/>
    <x v="2"/>
    <x v="0"/>
    <n v="10000"/>
  </r>
  <r>
    <n v="29"/>
    <s v="ACX29"/>
    <s v="Shohag"/>
    <x v="3"/>
    <x v="0"/>
    <x v="1"/>
    <x v="1"/>
    <x v="15"/>
    <x v="15"/>
    <x v="0"/>
    <x v="0"/>
    <x v="1"/>
    <s v="Gazipura 27"/>
    <x v="0"/>
    <x v="0"/>
    <n v="5000"/>
  </r>
  <r>
    <n v="30"/>
    <s v="ACX30"/>
    <s v="Nazmul Hosasain"/>
    <x v="2"/>
    <x v="0"/>
    <x v="0"/>
    <x v="1"/>
    <x v="16"/>
    <x v="16"/>
    <x v="0"/>
    <x v="0"/>
    <x v="0"/>
    <s v="Gazipura 27"/>
    <x v="0"/>
    <x v="0"/>
    <n v="10000"/>
  </r>
  <r>
    <n v="31"/>
    <s v="ACX31"/>
    <s v="Sujon Mia"/>
    <x v="2"/>
    <x v="0"/>
    <x v="2"/>
    <x v="1"/>
    <x v="16"/>
    <x v="16"/>
    <x v="0"/>
    <x v="0"/>
    <x v="3"/>
    <s v="Board Bazar"/>
    <x v="2"/>
    <x v="0"/>
    <n v="6211"/>
  </r>
  <r>
    <n v="32"/>
    <s v="ACX32"/>
    <s v="Shourov Miah"/>
    <x v="2"/>
    <x v="0"/>
    <x v="2"/>
    <x v="1"/>
    <x v="16"/>
    <x v="16"/>
    <x v="0"/>
    <x v="0"/>
    <x v="5"/>
    <s v="Boro Bari"/>
    <x v="2"/>
    <x v="0"/>
    <n v="36352"/>
  </r>
  <r>
    <n v="33"/>
    <s v="ACX33"/>
    <s v="Abdul Kayyum"/>
    <x v="2"/>
    <x v="0"/>
    <x v="2"/>
    <x v="1"/>
    <x v="16"/>
    <x v="16"/>
    <x v="0"/>
    <x v="0"/>
    <x v="5"/>
    <s v="Hossen Market"/>
    <x v="0"/>
    <x v="0"/>
    <n v="2581"/>
  </r>
  <r>
    <n v="34"/>
    <s v="ACX34"/>
    <s v="Aminul Islam"/>
    <x v="2"/>
    <x v="0"/>
    <x v="2"/>
    <x v="1"/>
    <x v="16"/>
    <x v="16"/>
    <x v="0"/>
    <x v="0"/>
    <x v="0"/>
    <s v="Board Bazar"/>
    <x v="2"/>
    <x v="0"/>
    <n v="2365"/>
  </r>
  <r>
    <n v="35"/>
    <s v="ACX35"/>
    <s v="Rafiu Ahmed"/>
    <x v="2"/>
    <x v="0"/>
    <x v="2"/>
    <x v="1"/>
    <x v="16"/>
    <x v="16"/>
    <x v="0"/>
    <x v="1"/>
    <x v="0"/>
    <s v="Sign board"/>
    <x v="2"/>
    <x v="0"/>
    <n v="10000"/>
  </r>
  <r>
    <n v="36"/>
    <s v="ACX36"/>
    <s v="Rubel Rana"/>
    <x v="0"/>
    <x v="0"/>
    <x v="2"/>
    <x v="1"/>
    <x v="16"/>
    <x v="16"/>
    <x v="0"/>
    <x v="0"/>
    <x v="0"/>
    <s v="Gazipura 27"/>
    <x v="0"/>
    <x v="0"/>
    <n v="10000"/>
  </r>
  <r>
    <n v="37"/>
    <s v="ACX37"/>
    <s v="Toyon Babu"/>
    <x v="2"/>
    <x v="0"/>
    <x v="2"/>
    <x v="1"/>
    <x v="16"/>
    <x v="16"/>
    <x v="0"/>
    <x v="0"/>
    <x v="5"/>
    <s v="Gazipura 27"/>
    <x v="0"/>
    <x v="0"/>
    <n v="16554"/>
  </r>
  <r>
    <n v="38"/>
    <s v="ACX38"/>
    <s v="Md. Sanoar Islam Shadin"/>
    <x v="2"/>
    <x v="0"/>
    <x v="2"/>
    <x v="1"/>
    <x v="16"/>
    <x v="16"/>
    <x v="0"/>
    <x v="0"/>
    <x v="3"/>
    <s v="Gazipura 27"/>
    <x v="0"/>
    <x v="0"/>
    <n v="10000"/>
  </r>
  <r>
    <n v="39"/>
    <s v="ACX39"/>
    <s v="Mizanur Rahman "/>
    <x v="2"/>
    <x v="0"/>
    <x v="2"/>
    <x v="1"/>
    <x v="16"/>
    <x v="16"/>
    <x v="0"/>
    <x v="1"/>
    <x v="1"/>
    <s v="Gazipura 27"/>
    <x v="0"/>
    <x v="0"/>
    <n v="10000"/>
  </r>
  <r>
    <n v="40"/>
    <s v="ACX40"/>
    <s v="Tanjim Ahmed"/>
    <x v="2"/>
    <x v="0"/>
    <x v="2"/>
    <x v="1"/>
    <x v="16"/>
    <x v="16"/>
    <x v="0"/>
    <x v="1"/>
    <x v="0"/>
    <s v="Gazipura 27"/>
    <x v="0"/>
    <x v="0"/>
    <n v="10000"/>
  </r>
  <r>
    <n v="41"/>
    <s v="ACX41"/>
    <s v="Sahara Akter Bristy"/>
    <x v="3"/>
    <x v="0"/>
    <x v="2"/>
    <x v="1"/>
    <x v="16"/>
    <x v="16"/>
    <x v="1"/>
    <x v="1"/>
    <x v="1"/>
    <s v="Gazipura 27"/>
    <x v="0"/>
    <x v="0"/>
    <n v="165146"/>
  </r>
  <r>
    <n v="42"/>
    <s v="ACX42"/>
    <s v="Shahadat Hossain"/>
    <x v="0"/>
    <x v="0"/>
    <x v="2"/>
    <x v="1"/>
    <x v="16"/>
    <x v="16"/>
    <x v="0"/>
    <x v="0"/>
    <x v="2"/>
    <s v="Board Bazar"/>
    <x v="2"/>
    <x v="0"/>
    <n v="10000"/>
  </r>
  <r>
    <n v="43"/>
    <s v="ACX43"/>
    <s v="Nittananda Das"/>
    <x v="0"/>
    <x v="0"/>
    <x v="2"/>
    <x v="1"/>
    <x v="16"/>
    <x v="16"/>
    <x v="0"/>
    <x v="0"/>
    <x v="6"/>
    <s v="Gazipura 27"/>
    <x v="0"/>
    <x v="0"/>
    <n v="10000"/>
  </r>
  <r>
    <n v="44"/>
    <s v="ACX44"/>
    <s v="Milon Hossain "/>
    <x v="0"/>
    <x v="0"/>
    <x v="2"/>
    <x v="1"/>
    <x v="16"/>
    <x v="16"/>
    <x v="0"/>
    <x v="0"/>
    <x v="0"/>
    <s v="Gazipura 27"/>
    <x v="0"/>
    <x v="0"/>
    <n v="215"/>
  </r>
  <r>
    <n v="45"/>
    <s v="ACX45"/>
    <s v="Hassan Mahmud"/>
    <x v="2"/>
    <x v="0"/>
    <x v="2"/>
    <x v="1"/>
    <x v="16"/>
    <x v="16"/>
    <x v="0"/>
    <x v="0"/>
    <x v="2"/>
    <s v="Gazipura 27"/>
    <x v="0"/>
    <x v="0"/>
    <n v="10000"/>
  </r>
  <r>
    <n v="46"/>
    <s v="ACX46"/>
    <s v="Mst. Happy"/>
    <x v="2"/>
    <x v="0"/>
    <x v="2"/>
    <x v="1"/>
    <x v="16"/>
    <x v="16"/>
    <x v="1"/>
    <x v="0"/>
    <x v="7"/>
    <s v="Board Bazar"/>
    <x v="2"/>
    <x v="0"/>
    <n v="10000"/>
  </r>
  <r>
    <n v="47"/>
    <s v="ACX47"/>
    <s v="Kamrul Hasan"/>
    <x v="2"/>
    <x v="0"/>
    <x v="2"/>
    <x v="1"/>
    <x v="16"/>
    <x v="16"/>
    <x v="0"/>
    <x v="0"/>
    <x v="0"/>
    <s v="Gazipur Chowrasta"/>
    <x v="1"/>
    <x v="0"/>
    <n v="16365"/>
  </r>
  <r>
    <n v="48"/>
    <s v="ACX48"/>
    <s v="Mahenur Islam"/>
    <x v="2"/>
    <x v="0"/>
    <x v="2"/>
    <x v="1"/>
    <x v="16"/>
    <x v="16"/>
    <x v="1"/>
    <x v="0"/>
    <x v="0"/>
    <s v="Sign board"/>
    <x v="2"/>
    <x v="0"/>
    <n v="10000"/>
  </r>
  <r>
    <n v="49"/>
    <s v="ACX49"/>
    <s v="Md. Samiul Islam"/>
    <x v="2"/>
    <x v="0"/>
    <x v="2"/>
    <x v="1"/>
    <x v="16"/>
    <x v="16"/>
    <x v="0"/>
    <x v="0"/>
    <x v="5"/>
    <s v="Gazipura 27"/>
    <x v="0"/>
    <x v="0"/>
    <n v="10000"/>
  </r>
  <r>
    <n v="50"/>
    <s v="ACX50"/>
    <s v="Sohana akter sonia"/>
    <x v="2"/>
    <x v="0"/>
    <x v="2"/>
    <x v="1"/>
    <x v="16"/>
    <x v="16"/>
    <x v="1"/>
    <x v="0"/>
    <x v="2"/>
    <s v="Board Bazar"/>
    <x v="2"/>
    <x v="0"/>
    <n v="1636"/>
  </r>
  <r>
    <n v="51"/>
    <s v="ACX51"/>
    <s v="Ananna Pervin"/>
    <x v="2"/>
    <x v="0"/>
    <x v="2"/>
    <x v="1"/>
    <x v="16"/>
    <x v="16"/>
    <x v="1"/>
    <x v="0"/>
    <x v="2"/>
    <s v="Gazipura 27"/>
    <x v="0"/>
    <x v="0"/>
    <n v="10000"/>
  </r>
  <r>
    <n v="52"/>
    <s v="ACX52"/>
    <s v="Sorovi"/>
    <x v="0"/>
    <x v="0"/>
    <x v="2"/>
    <x v="1"/>
    <x v="16"/>
    <x v="16"/>
    <x v="1"/>
    <x v="0"/>
    <x v="2"/>
    <s v="Gazipura 27"/>
    <x v="0"/>
    <x v="0"/>
    <n v="10000"/>
  </r>
  <r>
    <n v="53"/>
    <s v="ACX53"/>
    <s v="Kulsum Akter"/>
    <x v="2"/>
    <x v="0"/>
    <x v="2"/>
    <x v="1"/>
    <x v="16"/>
    <x v="16"/>
    <x v="1"/>
    <x v="0"/>
    <x v="2"/>
    <s v="Board Bazar"/>
    <x v="2"/>
    <x v="0"/>
    <n v="2163263"/>
  </r>
  <r>
    <n v="54"/>
    <s v="ACX54"/>
    <s v="Antora Khatun"/>
    <x v="2"/>
    <x v="0"/>
    <x v="2"/>
    <x v="1"/>
    <x v="16"/>
    <x v="16"/>
    <x v="1"/>
    <x v="1"/>
    <x v="0"/>
    <s v="Gazipura 27"/>
    <x v="0"/>
    <x v="0"/>
    <n v="10000"/>
  </r>
  <r>
    <n v="55"/>
    <s v="ACX55"/>
    <s v="Rokrya Akter Eti"/>
    <x v="2"/>
    <x v="0"/>
    <x v="2"/>
    <x v="1"/>
    <x v="16"/>
    <x v="16"/>
    <x v="1"/>
    <x v="0"/>
    <x v="1"/>
    <s v="Gazipura 27"/>
    <x v="0"/>
    <x v="0"/>
    <n v="10000"/>
  </r>
  <r>
    <n v="56"/>
    <s v="ACX56"/>
    <s v="Sumaiya Khanom"/>
    <x v="2"/>
    <x v="2"/>
    <x v="2"/>
    <x v="1"/>
    <x v="16"/>
    <x v="16"/>
    <x v="1"/>
    <x v="0"/>
    <x v="0"/>
    <s v="Gazipura 27"/>
    <x v="0"/>
    <x v="0"/>
    <n v="2362"/>
  </r>
  <r>
    <n v="57"/>
    <s v="ACX57"/>
    <s v="Sumaya Akter"/>
    <x v="3"/>
    <x v="2"/>
    <x v="2"/>
    <x v="1"/>
    <x v="16"/>
    <x v="16"/>
    <x v="1"/>
    <x v="0"/>
    <x v="0"/>
    <s v="Gazipur Sadar"/>
    <x v="3"/>
    <x v="0"/>
    <n v="10000"/>
  </r>
  <r>
    <n v="58"/>
    <s v="ACX58"/>
    <s v="Armina Akter Akhi"/>
    <x v="2"/>
    <x v="3"/>
    <x v="2"/>
    <x v="1"/>
    <x v="16"/>
    <x v="16"/>
    <x v="1"/>
    <x v="1"/>
    <x v="1"/>
    <s v="Gazipura 27"/>
    <x v="0"/>
    <x v="0"/>
    <n v="10000"/>
  </r>
  <r>
    <n v="59"/>
    <s v="ACX59"/>
    <s v="Md. Nadim Mahmud"/>
    <x v="0"/>
    <x v="3"/>
    <x v="2"/>
    <x v="1"/>
    <x v="16"/>
    <x v="16"/>
    <x v="1"/>
    <x v="1"/>
    <x v="1"/>
    <s v="Gazipura 27"/>
    <x v="0"/>
    <x v="0"/>
    <n v="132"/>
  </r>
  <r>
    <n v="60"/>
    <s v="ACX60"/>
    <s v="Md. Minhajul Islam"/>
    <x v="0"/>
    <x v="4"/>
    <x v="2"/>
    <x v="1"/>
    <x v="16"/>
    <x v="16"/>
    <x v="0"/>
    <x v="0"/>
    <x v="1"/>
    <s v="Gazipura 27"/>
    <x v="0"/>
    <x v="0"/>
    <n v="10000"/>
  </r>
  <r>
    <n v="61"/>
    <s v="ACX61"/>
    <s v="Md. Yousuf Ali"/>
    <x v="2"/>
    <x v="2"/>
    <x v="2"/>
    <x v="1"/>
    <x v="16"/>
    <x v="16"/>
    <x v="0"/>
    <x v="1"/>
    <x v="2"/>
    <s v="Gazipura 27"/>
    <x v="0"/>
    <x v="0"/>
    <n v="10000"/>
  </r>
  <r>
    <n v="62"/>
    <s v="ACX62"/>
    <s v="Md. Nafish Muthashim Ratul"/>
    <x v="2"/>
    <x v="2"/>
    <x v="2"/>
    <x v="1"/>
    <x v="16"/>
    <x v="16"/>
    <x v="1"/>
    <x v="0"/>
    <x v="2"/>
    <s v="Gazipura 27"/>
    <x v="0"/>
    <x v="0"/>
    <n v="232"/>
  </r>
  <r>
    <n v="63"/>
    <s v="ACX63"/>
    <s v="Md. Babu Mia"/>
    <x v="2"/>
    <x v="2"/>
    <x v="2"/>
    <x v="1"/>
    <x v="16"/>
    <x v="16"/>
    <x v="1"/>
    <x v="0"/>
    <x v="2"/>
    <s v="Board Bazar"/>
    <x v="2"/>
    <x v="0"/>
    <n v="10000"/>
  </r>
  <r>
    <n v="64"/>
    <s v="ACX64"/>
    <s v="Hasi Akter"/>
    <x v="3"/>
    <x v="2"/>
    <x v="2"/>
    <x v="1"/>
    <x v="16"/>
    <x v="16"/>
    <x v="1"/>
    <x v="0"/>
    <x v="5"/>
    <s v="Board Bazar"/>
    <x v="2"/>
    <x v="0"/>
    <n v="10000"/>
  </r>
  <r>
    <n v="65"/>
    <s v="ACX65"/>
    <s v="Sumon Mia"/>
    <x v="2"/>
    <x v="2"/>
    <x v="2"/>
    <x v="1"/>
    <x v="16"/>
    <x v="16"/>
    <x v="0"/>
    <x v="0"/>
    <x v="2"/>
    <s v="Vogra Baypass"/>
    <x v="1"/>
    <x v="0"/>
    <n v="215"/>
  </r>
  <r>
    <n v="66"/>
    <s v="ACX66"/>
    <s v="Rakibul Islam"/>
    <x v="0"/>
    <x v="5"/>
    <x v="2"/>
    <x v="1"/>
    <x v="16"/>
    <x v="16"/>
    <x v="0"/>
    <x v="0"/>
    <x v="0"/>
    <s v="Gazipura 27"/>
    <x v="0"/>
    <x v="0"/>
    <n v="20000"/>
  </r>
  <r>
    <n v="67"/>
    <s v="ACX67"/>
    <s v="Sudip Chandra "/>
    <x v="0"/>
    <x v="3"/>
    <x v="2"/>
    <x v="1"/>
    <x v="16"/>
    <x v="16"/>
    <x v="0"/>
    <x v="0"/>
    <x v="1"/>
    <s v="Gazipura 27"/>
    <x v="0"/>
    <x v="0"/>
    <n v="155"/>
  </r>
  <r>
    <n v="68"/>
    <s v="ACX68"/>
    <s v="Merajul "/>
    <x v="0"/>
    <x v="6"/>
    <x v="2"/>
    <x v="1"/>
    <x v="16"/>
    <x v="16"/>
    <x v="0"/>
    <x v="1"/>
    <x v="2"/>
    <s v="Gazipura 27"/>
    <x v="0"/>
    <x v="0"/>
    <n v="20000"/>
  </r>
  <r>
    <n v="69"/>
    <s v="ACX69"/>
    <s v="Rashedul Islam"/>
    <x v="0"/>
    <x v="7"/>
    <x v="2"/>
    <x v="1"/>
    <x v="16"/>
    <x v="16"/>
    <x v="0"/>
    <x v="0"/>
    <x v="2"/>
    <s v="Gazipura 27"/>
    <x v="0"/>
    <x v="0"/>
    <n v="20000"/>
  </r>
  <r>
    <n v="70"/>
    <s v="ACX70"/>
    <s v="Shamim Hossen"/>
    <x v="5"/>
    <x v="0"/>
    <x v="2"/>
    <x v="1"/>
    <x v="16"/>
    <x v="16"/>
    <x v="0"/>
    <x v="0"/>
    <x v="2"/>
    <s v="Gazipura 27"/>
    <x v="0"/>
    <x v="0"/>
    <n v="26526"/>
  </r>
  <r>
    <n v="71"/>
    <s v="ACX71"/>
    <s v="Mahafuj Zim Megh"/>
    <x v="0"/>
    <x v="0"/>
    <x v="2"/>
    <x v="1"/>
    <x v="16"/>
    <x v="16"/>
    <x v="0"/>
    <x v="1"/>
    <x v="3"/>
    <s v="Board Bazar"/>
    <x v="2"/>
    <x v="0"/>
    <n v="10000"/>
  </r>
  <r>
    <n v="72"/>
    <s v="ACX72"/>
    <s v="Tarikul Islam"/>
    <x v="5"/>
    <x v="0"/>
    <x v="2"/>
    <x v="1"/>
    <x v="16"/>
    <x v="16"/>
    <x v="0"/>
    <x v="0"/>
    <x v="1"/>
    <s v="Gazipura 27"/>
    <x v="0"/>
    <x v="0"/>
    <n v="10000"/>
  </r>
  <r>
    <n v="73"/>
    <s v="ACX73"/>
    <s v="Md. Mahfujur Rahman"/>
    <x v="0"/>
    <x v="0"/>
    <x v="2"/>
    <x v="1"/>
    <x v="16"/>
    <x v="16"/>
    <x v="0"/>
    <x v="0"/>
    <x v="0"/>
    <s v="Board Bazar"/>
    <x v="2"/>
    <x v="0"/>
    <n v="262"/>
  </r>
  <r>
    <n v="74"/>
    <s v="ACX74"/>
    <s v="Prarvin Akter"/>
    <x v="2"/>
    <x v="0"/>
    <x v="2"/>
    <x v="1"/>
    <x v="17"/>
    <x v="17"/>
    <x v="1"/>
    <x v="0"/>
    <x v="2"/>
    <s v="Sign board"/>
    <x v="2"/>
    <x v="0"/>
    <n v="10000"/>
  </r>
  <r>
    <n v="75"/>
    <s v="ACX75"/>
    <s v="Mahmudul Hasan"/>
    <x v="3"/>
    <x v="0"/>
    <x v="2"/>
    <x v="1"/>
    <x v="17"/>
    <x v="17"/>
    <x v="0"/>
    <x v="0"/>
    <x v="2"/>
    <s v="Board Bazar"/>
    <x v="2"/>
    <x v="0"/>
    <n v="10000"/>
  </r>
  <r>
    <n v="76"/>
    <s v="ACX76"/>
    <s v="Mehedi Hasan Shanto"/>
    <x v="3"/>
    <x v="0"/>
    <x v="2"/>
    <x v="1"/>
    <x v="17"/>
    <x v="17"/>
    <x v="0"/>
    <x v="0"/>
    <x v="3"/>
    <s v="Board Bazar"/>
    <x v="2"/>
    <x v="0"/>
    <n v="1626"/>
  </r>
  <r>
    <n v="77"/>
    <s v="ACX77"/>
    <s v="Safikul Islam Emon"/>
    <x v="2"/>
    <x v="0"/>
    <x v="2"/>
    <x v="1"/>
    <x v="17"/>
    <x v="17"/>
    <x v="0"/>
    <x v="0"/>
    <x v="0"/>
    <s v="Ershad Nagar"/>
    <x v="0"/>
    <x v="0"/>
    <n v="10000"/>
  </r>
  <r>
    <n v="78"/>
    <s v="ACX78"/>
    <s v="Nazmul Islam Emon"/>
    <x v="2"/>
    <x v="0"/>
    <x v="2"/>
    <x v="1"/>
    <x v="17"/>
    <x v="17"/>
    <x v="0"/>
    <x v="0"/>
    <x v="2"/>
    <s v="Ershad Nagar"/>
    <x v="0"/>
    <x v="0"/>
    <n v="10000"/>
  </r>
  <r>
    <n v="79"/>
    <s v="ACX79"/>
    <s v="Junaed Hasan"/>
    <x v="3"/>
    <x v="0"/>
    <x v="2"/>
    <x v="1"/>
    <x v="17"/>
    <x v="17"/>
    <x v="0"/>
    <x v="0"/>
    <x v="5"/>
    <s v="Gacha"/>
    <x v="2"/>
    <x v="0"/>
    <n v="266"/>
  </r>
  <r>
    <n v="80"/>
    <s v="ACX80"/>
    <s v="Din Mohammed Rabbi"/>
    <x v="3"/>
    <x v="0"/>
    <x v="2"/>
    <x v="1"/>
    <x v="17"/>
    <x v="17"/>
    <x v="0"/>
    <x v="0"/>
    <x v="1"/>
    <s v="Ershad Nagar"/>
    <x v="0"/>
    <x v="0"/>
    <n v="10000"/>
  </r>
  <r>
    <n v="81"/>
    <s v="ACX81"/>
    <s v="Fazlul Haque"/>
    <x v="3"/>
    <x v="1"/>
    <x v="2"/>
    <x v="1"/>
    <x v="17"/>
    <x v="17"/>
    <x v="0"/>
    <x v="1"/>
    <x v="5"/>
    <s v="Gazipura 27"/>
    <x v="0"/>
    <x v="0"/>
    <n v="10000"/>
  </r>
  <r>
    <n v="82"/>
    <s v="ACX82"/>
    <s v="Md. Faruk Hossain"/>
    <x v="3"/>
    <x v="0"/>
    <x v="2"/>
    <x v="1"/>
    <x v="17"/>
    <x v="17"/>
    <x v="0"/>
    <x v="0"/>
    <x v="5"/>
    <s v="Gazipura 27"/>
    <x v="0"/>
    <x v="0"/>
    <n v="16"/>
  </r>
  <r>
    <n v="83"/>
    <s v="ACX83"/>
    <s v="Md. Shihab Uddin"/>
    <x v="3"/>
    <x v="0"/>
    <x v="2"/>
    <x v="1"/>
    <x v="17"/>
    <x v="17"/>
    <x v="0"/>
    <x v="0"/>
    <x v="1"/>
    <s v="Gazipura 27"/>
    <x v="0"/>
    <x v="0"/>
    <n v="1000"/>
  </r>
  <r>
    <n v="84"/>
    <s v="ACX84"/>
    <s v="Masum Rana"/>
    <x v="2"/>
    <x v="0"/>
    <x v="2"/>
    <x v="1"/>
    <x v="17"/>
    <x v="17"/>
    <x v="0"/>
    <x v="0"/>
    <x v="1"/>
    <s v="Gazipura 27"/>
    <x v="0"/>
    <x v="0"/>
    <n v="1000"/>
  </r>
  <r>
    <n v="85"/>
    <s v="ACX85"/>
    <s v="Md. Imran Hossain"/>
    <x v="3"/>
    <x v="0"/>
    <x v="2"/>
    <x v="1"/>
    <x v="17"/>
    <x v="17"/>
    <x v="0"/>
    <x v="0"/>
    <x v="0"/>
    <s v="Gazipura 27"/>
    <x v="0"/>
    <x v="0"/>
    <n v="616"/>
  </r>
  <r>
    <n v="86"/>
    <s v="ACX86"/>
    <s v="Mahafuzur Rahman"/>
    <x v="2"/>
    <x v="0"/>
    <x v="2"/>
    <x v="1"/>
    <x v="17"/>
    <x v="17"/>
    <x v="0"/>
    <x v="0"/>
    <x v="3"/>
    <s v="Gazipura 27"/>
    <x v="0"/>
    <x v="0"/>
    <n v="1000"/>
  </r>
  <r>
    <n v="87"/>
    <s v="ACX87"/>
    <s v="Md. Shahrier Nayeem"/>
    <x v="2"/>
    <x v="0"/>
    <x v="2"/>
    <x v="1"/>
    <x v="17"/>
    <x v="17"/>
    <x v="0"/>
    <x v="0"/>
    <x v="3"/>
    <s v="Board Bazar"/>
    <x v="2"/>
    <x v="0"/>
    <n v="1000"/>
  </r>
  <r>
    <n v="88"/>
    <s v="ACX88"/>
    <s v="Faysal Hossain"/>
    <x v="2"/>
    <x v="0"/>
    <x v="2"/>
    <x v="1"/>
    <x v="17"/>
    <x v="17"/>
    <x v="0"/>
    <x v="0"/>
    <x v="5"/>
    <s v="Boro Bari"/>
    <x v="2"/>
    <x v="0"/>
    <n v="1662"/>
  </r>
  <r>
    <n v="89"/>
    <s v="ACX89"/>
    <s v="Sabbir Hossain Sagor"/>
    <x v="3"/>
    <x v="0"/>
    <x v="2"/>
    <x v="1"/>
    <x v="17"/>
    <x v="17"/>
    <x v="0"/>
    <x v="0"/>
    <x v="1"/>
    <s v="Gazipura 27"/>
    <x v="0"/>
    <x v="0"/>
    <n v="10000"/>
  </r>
  <r>
    <n v="90"/>
    <s v="ACX90"/>
    <s v="Faysal Mahamud"/>
    <x v="2"/>
    <x v="0"/>
    <x v="2"/>
    <x v="1"/>
    <x v="17"/>
    <x v="17"/>
    <x v="0"/>
    <x v="0"/>
    <x v="2"/>
    <s v="Gazipura 27"/>
    <x v="0"/>
    <x v="0"/>
    <n v="16326"/>
  </r>
  <r>
    <n v="91"/>
    <s v="ACX91"/>
    <s v="Md. Samiul Islam"/>
    <x v="2"/>
    <x v="0"/>
    <x v="2"/>
    <x v="1"/>
    <x v="17"/>
    <x v="17"/>
    <x v="0"/>
    <x v="1"/>
    <x v="5"/>
    <s v="Gazipura 27"/>
    <x v="0"/>
    <x v="0"/>
    <n v="10000"/>
  </r>
  <r>
    <n v="92"/>
    <s v="ACX92"/>
    <s v="Sojib Hossain"/>
    <x v="3"/>
    <x v="0"/>
    <x v="2"/>
    <x v="1"/>
    <x v="17"/>
    <x v="17"/>
    <x v="0"/>
    <x v="0"/>
    <x v="2"/>
    <s v="Gazipura 27"/>
    <x v="0"/>
    <x v="0"/>
    <n v="26265"/>
  </r>
  <r>
    <n v="93"/>
    <s v="ACX93"/>
    <s v="Rahul Mia"/>
    <x v="0"/>
    <x v="0"/>
    <x v="2"/>
    <x v="1"/>
    <x v="17"/>
    <x v="17"/>
    <x v="0"/>
    <x v="0"/>
    <x v="2"/>
    <s v="Gazipura 27"/>
    <x v="0"/>
    <x v="0"/>
    <n v="2162"/>
  </r>
  <r>
    <n v="94"/>
    <s v="ACX94"/>
    <s v="Munni Akter"/>
    <x v="0"/>
    <x v="0"/>
    <x v="2"/>
    <x v="1"/>
    <x v="17"/>
    <x v="17"/>
    <x v="1"/>
    <x v="0"/>
    <x v="2"/>
    <s v="Board Bazar"/>
    <x v="2"/>
    <x v="0"/>
    <n v="10000"/>
  </r>
  <r>
    <n v="95"/>
    <s v="ACX95"/>
    <s v="Tonima Shams"/>
    <x v="5"/>
    <x v="0"/>
    <x v="2"/>
    <x v="1"/>
    <x v="17"/>
    <x v="17"/>
    <x v="1"/>
    <x v="0"/>
    <x v="1"/>
    <s v="Gazipura 27"/>
    <x v="0"/>
    <x v="0"/>
    <n v="16521"/>
  </r>
  <r>
    <n v="96"/>
    <s v="ACX96"/>
    <s v="Nadia Sultana Beauty"/>
    <x v="5"/>
    <x v="0"/>
    <x v="2"/>
    <x v="1"/>
    <x v="17"/>
    <x v="17"/>
    <x v="1"/>
    <x v="0"/>
    <x v="0"/>
    <s v="Shimultoli"/>
    <x v="2"/>
    <x v="0"/>
    <n v="21625"/>
  </r>
  <r>
    <n v="97"/>
    <s v="ACX97"/>
    <s v="Sorovi"/>
    <x v="0"/>
    <x v="0"/>
    <x v="2"/>
    <x v="1"/>
    <x v="17"/>
    <x v="17"/>
    <x v="1"/>
    <x v="0"/>
    <x v="0"/>
    <s v="Gazipur Chowrasta"/>
    <x v="1"/>
    <x v="0"/>
    <n v="6526"/>
  </r>
  <r>
    <n v="98"/>
    <s v="ACX98"/>
    <s v="Kulsum Akter"/>
    <x v="0"/>
    <x v="0"/>
    <x v="2"/>
    <x v="1"/>
    <x v="17"/>
    <x v="17"/>
    <x v="1"/>
    <x v="0"/>
    <x v="1"/>
    <s v="College Gate"/>
    <x v="2"/>
    <x v="0"/>
    <n v="655"/>
  </r>
  <r>
    <n v="99"/>
    <s v="ACX99"/>
    <s v="Antora Khatun"/>
    <x v="0"/>
    <x v="0"/>
    <x v="2"/>
    <x v="1"/>
    <x v="17"/>
    <x v="17"/>
    <x v="1"/>
    <x v="1"/>
    <x v="0"/>
    <s v="Gazipura 27"/>
    <x v="0"/>
    <x v="0"/>
    <n v="62146"/>
  </r>
  <r>
    <n v="100"/>
    <s v="ACX100"/>
    <s v="Rokrya Akter Eti"/>
    <x v="0"/>
    <x v="0"/>
    <x v="2"/>
    <x v="1"/>
    <x v="17"/>
    <x v="17"/>
    <x v="1"/>
    <x v="0"/>
    <x v="3"/>
    <s v="Board Bazar"/>
    <x v="2"/>
    <x v="0"/>
    <n v="2656"/>
  </r>
  <r>
    <n v="101"/>
    <s v="ACX101"/>
    <s v="Sumaiya Khanom"/>
    <x v="3"/>
    <x v="0"/>
    <x v="2"/>
    <x v="1"/>
    <x v="17"/>
    <x v="17"/>
    <x v="1"/>
    <x v="0"/>
    <x v="0"/>
    <s v="Gazipura 27"/>
    <x v="0"/>
    <x v="0"/>
    <n v="216"/>
  </r>
  <r>
    <n v="102"/>
    <s v="ACX102"/>
    <s v="Sumaya Akter"/>
    <x v="2"/>
    <x v="0"/>
    <x v="2"/>
    <x v="1"/>
    <x v="17"/>
    <x v="17"/>
    <x v="1"/>
    <x v="0"/>
    <x v="1"/>
    <s v="Gazipura 27"/>
    <x v="0"/>
    <x v="0"/>
    <n v="65143"/>
  </r>
  <r>
    <n v="103"/>
    <s v="ACX103"/>
    <s v="Armina Akter Akhi"/>
    <x v="2"/>
    <x v="0"/>
    <x v="2"/>
    <x v="1"/>
    <x v="17"/>
    <x v="17"/>
    <x v="1"/>
    <x v="0"/>
    <x v="0"/>
    <s v="Gazipura 27"/>
    <x v="0"/>
    <x v="0"/>
    <n v="10000"/>
  </r>
  <r>
    <n v="104"/>
    <s v="ACX104"/>
    <s v="Md. Nadim Mahmud"/>
    <x v="2"/>
    <x v="0"/>
    <x v="2"/>
    <x v="1"/>
    <x v="17"/>
    <x v="17"/>
    <x v="0"/>
    <x v="0"/>
    <x v="1"/>
    <s v="Gazipura 27"/>
    <x v="0"/>
    <x v="0"/>
    <n v="10000"/>
  </r>
  <r>
    <n v="105"/>
    <s v="ACX105"/>
    <s v="Md. Minhajul Islam"/>
    <x v="3"/>
    <x v="0"/>
    <x v="2"/>
    <x v="1"/>
    <x v="17"/>
    <x v="17"/>
    <x v="0"/>
    <x v="0"/>
    <x v="3"/>
    <s v="Gazipura 27"/>
    <x v="0"/>
    <x v="0"/>
    <n v="5000"/>
  </r>
  <r>
    <n v="106"/>
    <s v="ACX106"/>
    <s v="Md. Yousuf Ali"/>
    <x v="2"/>
    <x v="0"/>
    <x v="2"/>
    <x v="1"/>
    <x v="17"/>
    <x v="17"/>
    <x v="0"/>
    <x v="0"/>
    <x v="0"/>
    <s v="Gazipura 27"/>
    <x v="0"/>
    <x v="0"/>
    <n v="5000"/>
  </r>
  <r>
    <n v="107"/>
    <s v="ACX107"/>
    <s v="Md. Nafish Muthashim Ratul"/>
    <x v="2"/>
    <x v="0"/>
    <x v="2"/>
    <x v="1"/>
    <x v="17"/>
    <x v="17"/>
    <x v="0"/>
    <x v="0"/>
    <x v="0"/>
    <s v="Gazipura 27"/>
    <x v="0"/>
    <x v="0"/>
    <n v="5000"/>
  </r>
  <r>
    <n v="108"/>
    <s v="ACX108"/>
    <s v="Md. Babu Mia"/>
    <x v="2"/>
    <x v="0"/>
    <x v="2"/>
    <x v="1"/>
    <x v="17"/>
    <x v="17"/>
    <x v="0"/>
    <x v="0"/>
    <x v="1"/>
    <s v="Gazipur Chowrasta"/>
    <x v="1"/>
    <x v="0"/>
    <n v="5000"/>
  </r>
  <r>
    <n v="109"/>
    <s v="ACX109"/>
    <s v="Samsur Rahman Shakil"/>
    <x v="3"/>
    <x v="0"/>
    <x v="2"/>
    <x v="1"/>
    <x v="17"/>
    <x v="17"/>
    <x v="0"/>
    <x v="0"/>
    <x v="0"/>
    <s v="Sign board"/>
    <x v="2"/>
    <x v="0"/>
    <n v="5000"/>
  </r>
  <r>
    <n v="110"/>
    <s v="ACX110"/>
    <s v="Md. Nahid Hasan Shaon"/>
    <x v="2"/>
    <x v="0"/>
    <x v="2"/>
    <x v="1"/>
    <x v="17"/>
    <x v="17"/>
    <x v="0"/>
    <x v="0"/>
    <x v="4"/>
    <s v="Hossen Market"/>
    <x v="0"/>
    <x v="0"/>
    <n v="5000"/>
  </r>
  <r>
    <n v="111"/>
    <s v="ACX111"/>
    <s v="Shanta Priya"/>
    <x v="2"/>
    <x v="0"/>
    <x v="2"/>
    <x v="1"/>
    <x v="17"/>
    <x v="17"/>
    <x v="1"/>
    <x v="0"/>
    <x v="0"/>
    <s v="Gazipura 27"/>
    <x v="0"/>
    <x v="0"/>
    <n v="5000"/>
  </r>
  <r>
    <n v="112"/>
    <s v="ACX112"/>
    <s v="Md. Abdul Kader"/>
    <x v="5"/>
    <x v="0"/>
    <x v="2"/>
    <x v="1"/>
    <x v="17"/>
    <x v="17"/>
    <x v="0"/>
    <x v="0"/>
    <x v="2"/>
    <s v="Mouchak"/>
    <x v="3"/>
    <x v="0"/>
    <n v="5000"/>
  </r>
  <r>
    <n v="113"/>
    <s v="ACX113"/>
    <s v="Md. Sagor Hossain"/>
    <x v="2"/>
    <x v="0"/>
    <x v="2"/>
    <x v="1"/>
    <x v="17"/>
    <x v="17"/>
    <x v="0"/>
    <x v="0"/>
    <x v="2"/>
    <s v="Gazipura 27"/>
    <x v="0"/>
    <x v="0"/>
    <n v="5000"/>
  </r>
  <r>
    <n v="114"/>
    <s v="ACX114"/>
    <s v="Masud Islam Fahim"/>
    <x v="0"/>
    <x v="0"/>
    <x v="2"/>
    <x v="1"/>
    <x v="17"/>
    <x v="17"/>
    <x v="0"/>
    <x v="0"/>
    <x v="2"/>
    <s v="Bason"/>
    <x v="5"/>
    <x v="0"/>
    <n v="5000"/>
  </r>
  <r>
    <n v="115"/>
    <s v="ACX115"/>
    <s v="Md. Manik Mia"/>
    <x v="2"/>
    <x v="4"/>
    <x v="2"/>
    <x v="1"/>
    <x v="17"/>
    <x v="17"/>
    <x v="0"/>
    <x v="0"/>
    <x v="1"/>
    <s v="Gazipur Chowrasta"/>
    <x v="1"/>
    <x v="0"/>
    <n v="5000"/>
  </r>
  <r>
    <n v="116"/>
    <s v="ACX116"/>
    <s v="Md. Shajibur Rahaman"/>
    <x v="2"/>
    <x v="2"/>
    <x v="2"/>
    <x v="1"/>
    <x v="18"/>
    <x v="18"/>
    <x v="0"/>
    <x v="0"/>
    <x v="2"/>
    <s v="Gazipura 27"/>
    <x v="0"/>
    <x v="0"/>
    <n v="5000"/>
  </r>
  <r>
    <n v="117"/>
    <s v="ACX117"/>
    <s v="Limon"/>
    <x v="2"/>
    <x v="2"/>
    <x v="2"/>
    <x v="1"/>
    <x v="18"/>
    <x v="18"/>
    <x v="0"/>
    <x v="0"/>
    <x v="0"/>
    <s v="Gazipura 27"/>
    <x v="0"/>
    <x v="0"/>
    <n v="5000"/>
  </r>
  <r>
    <n v="118"/>
    <s v="ACX118"/>
    <s v="Arman Hossen"/>
    <x v="3"/>
    <x v="2"/>
    <x v="2"/>
    <x v="1"/>
    <x v="18"/>
    <x v="18"/>
    <x v="0"/>
    <x v="0"/>
    <x v="0"/>
    <s v="Board Bazar"/>
    <x v="2"/>
    <x v="0"/>
    <n v="5000"/>
  </r>
  <r>
    <n v="119"/>
    <s v="ACX119"/>
    <s v="Md. Raju Mia"/>
    <x v="0"/>
    <x v="2"/>
    <x v="2"/>
    <x v="1"/>
    <x v="18"/>
    <x v="18"/>
    <x v="0"/>
    <x v="0"/>
    <x v="1"/>
    <s v="Boro Bari"/>
    <x v="2"/>
    <x v="0"/>
    <n v="5000"/>
  </r>
  <r>
    <n v="120"/>
    <s v="ACX120"/>
    <s v="Md. Ammar Hossain"/>
    <x v="0"/>
    <x v="2"/>
    <x v="2"/>
    <x v="1"/>
    <x v="18"/>
    <x v="18"/>
    <x v="0"/>
    <x v="0"/>
    <x v="5"/>
    <s v="Ershad Nagar"/>
    <x v="0"/>
    <x v="0"/>
    <n v="5000"/>
  </r>
  <r>
    <n v="121"/>
    <s v="ACX121"/>
    <s v="Nadim Al Kamal Murad"/>
    <x v="5"/>
    <x v="5"/>
    <x v="2"/>
    <x v="1"/>
    <x v="18"/>
    <x v="18"/>
    <x v="0"/>
    <x v="1"/>
    <x v="0"/>
    <s v="Airport"/>
    <x v="1"/>
    <x v="0"/>
    <n v="5000"/>
  </r>
  <r>
    <n v="122"/>
    <s v="ACX122"/>
    <s v="Manik Sharker"/>
    <x v="5"/>
    <x v="3"/>
    <x v="2"/>
    <x v="1"/>
    <x v="18"/>
    <x v="18"/>
    <x v="0"/>
    <x v="0"/>
    <x v="0"/>
    <s v="Gazipur Sadar"/>
    <x v="3"/>
    <x v="0"/>
    <n v="5000"/>
  </r>
  <r>
    <n v="123"/>
    <s v="ACX123"/>
    <s v="Samiul Hoque"/>
    <x v="0"/>
    <x v="6"/>
    <x v="2"/>
    <x v="1"/>
    <x v="18"/>
    <x v="18"/>
    <x v="0"/>
    <x v="0"/>
    <x v="0"/>
    <s v="Uttara"/>
    <x v="1"/>
    <x v="0"/>
    <n v="5000"/>
  </r>
  <r>
    <n v="124"/>
    <s v="ACX124"/>
    <s v="Rashid Mahmud"/>
    <x v="0"/>
    <x v="7"/>
    <x v="2"/>
    <x v="1"/>
    <x v="18"/>
    <x v="18"/>
    <x v="0"/>
    <x v="0"/>
    <x v="1"/>
    <s v="Gazipura 27"/>
    <x v="0"/>
    <x v="0"/>
    <n v="5000"/>
  </r>
  <r>
    <n v="125"/>
    <s v="ACX125"/>
    <s v="Md. Riad Hasan"/>
    <x v="0"/>
    <x v="0"/>
    <x v="2"/>
    <x v="1"/>
    <x v="18"/>
    <x v="18"/>
    <x v="0"/>
    <x v="0"/>
    <x v="0"/>
    <s v="Gazipura 27"/>
    <x v="0"/>
    <x v="0"/>
    <n v="5000"/>
  </r>
  <r>
    <n v="126"/>
    <s v="ACX126"/>
    <s v="Md. Junied Mahtav Muin"/>
    <x v="0"/>
    <x v="0"/>
    <x v="2"/>
    <x v="1"/>
    <x v="18"/>
    <x v="18"/>
    <x v="0"/>
    <x v="0"/>
    <x v="2"/>
    <s v="Hariken"/>
    <x v="2"/>
    <x v="0"/>
    <n v="52542"/>
  </r>
  <r>
    <n v="127"/>
    <s v="ACX127"/>
    <s v="Mst. Muslima"/>
    <x v="3"/>
    <x v="0"/>
    <x v="2"/>
    <x v="1"/>
    <x v="18"/>
    <x v="18"/>
    <x v="1"/>
    <x v="1"/>
    <x v="2"/>
    <s v="Ershad Nagar"/>
    <x v="0"/>
    <x v="0"/>
    <n v="5000"/>
  </r>
  <r>
    <n v="128"/>
    <s v="ACX128"/>
    <s v="Md. Jahid Hasan Joy"/>
    <x v="2"/>
    <x v="0"/>
    <x v="2"/>
    <x v="1"/>
    <x v="18"/>
    <x v="18"/>
    <x v="0"/>
    <x v="0"/>
    <x v="1"/>
    <s v="Ershad Nagar"/>
    <x v="0"/>
    <x v="0"/>
    <n v="5000"/>
  </r>
  <r>
    <n v="129"/>
    <s v="ACX129"/>
    <s v="Reduyan Ahmed Ajmir"/>
    <x v="2"/>
    <x v="0"/>
    <x v="2"/>
    <x v="1"/>
    <x v="18"/>
    <x v="18"/>
    <x v="0"/>
    <x v="0"/>
    <x v="0"/>
    <s v="Ershad Nagar"/>
    <x v="0"/>
    <x v="0"/>
    <n v="5000"/>
  </r>
  <r>
    <n v="130"/>
    <s v="ACX130"/>
    <s v="Md. Sajib Hossain"/>
    <x v="2"/>
    <x v="0"/>
    <x v="2"/>
    <x v="1"/>
    <x v="18"/>
    <x v="18"/>
    <x v="0"/>
    <x v="0"/>
    <x v="1"/>
    <s v="Ershad Nagar"/>
    <x v="0"/>
    <x v="0"/>
    <n v="5000"/>
  </r>
  <r>
    <n v="131"/>
    <s v="ACX131"/>
    <s v="Rayhan Habib"/>
    <x v="3"/>
    <x v="0"/>
    <x v="2"/>
    <x v="1"/>
    <x v="18"/>
    <x v="18"/>
    <x v="0"/>
    <x v="1"/>
    <x v="0"/>
    <s v="Ershad Nagar"/>
    <x v="0"/>
    <x v="0"/>
    <n v="5000"/>
  </r>
  <r>
    <n v="132"/>
    <s v="ACX132"/>
    <s v="Md. Al Amin Hossain Shanto"/>
    <x v="2"/>
    <x v="0"/>
    <x v="2"/>
    <x v="1"/>
    <x v="18"/>
    <x v="18"/>
    <x v="0"/>
    <x v="0"/>
    <x v="5"/>
    <s v="Ershad Nagar"/>
    <x v="0"/>
    <x v="0"/>
    <n v="5000"/>
  </r>
  <r>
    <n v="133"/>
    <s v="ACX133"/>
    <s v="Mohibul Hasan"/>
    <x v="0"/>
    <x v="0"/>
    <x v="2"/>
    <x v="1"/>
    <x v="18"/>
    <x v="18"/>
    <x v="0"/>
    <x v="1"/>
    <x v="0"/>
    <s v="Tongi Bazar"/>
    <x v="1"/>
    <x v="0"/>
    <n v="5000"/>
  </r>
  <r>
    <n v="134"/>
    <s v="ACX134"/>
    <s v="Md. Farhad Mia"/>
    <x v="2"/>
    <x v="0"/>
    <x v="2"/>
    <x v="1"/>
    <x v="18"/>
    <x v="18"/>
    <x v="0"/>
    <x v="0"/>
    <x v="0"/>
    <s v="Ershad Nagar"/>
    <x v="0"/>
    <x v="0"/>
    <n v="5000"/>
  </r>
  <r>
    <n v="135"/>
    <s v="ACX135"/>
    <s v="Md. Limon Miah"/>
    <x v="2"/>
    <x v="0"/>
    <x v="2"/>
    <x v="1"/>
    <x v="18"/>
    <x v="18"/>
    <x v="0"/>
    <x v="0"/>
    <x v="0"/>
    <s v="Gazipura 27"/>
    <x v="0"/>
    <x v="0"/>
    <n v="5000"/>
  </r>
  <r>
    <n v="136"/>
    <s v="ACX136"/>
    <s v="Md. Nazmul Hossain"/>
    <x v="2"/>
    <x v="0"/>
    <x v="2"/>
    <x v="1"/>
    <x v="18"/>
    <x v="18"/>
    <x v="0"/>
    <x v="0"/>
    <x v="3"/>
    <s v="Ershad Nagar"/>
    <x v="0"/>
    <x v="0"/>
    <n v="5000"/>
  </r>
  <r>
    <n v="137"/>
    <s v="ACX137"/>
    <s v="Md. Nahidul Islam"/>
    <x v="2"/>
    <x v="0"/>
    <x v="2"/>
    <x v="1"/>
    <x v="18"/>
    <x v="18"/>
    <x v="0"/>
    <x v="1"/>
    <x v="2"/>
    <s v="Ershad Nagar"/>
    <x v="0"/>
    <x v="0"/>
    <n v="5000"/>
  </r>
  <r>
    <n v="138"/>
    <s v="ACX138"/>
    <s v="Mst. Nowshin Akter"/>
    <x v="0"/>
    <x v="0"/>
    <x v="2"/>
    <x v="1"/>
    <x v="18"/>
    <x v="18"/>
    <x v="1"/>
    <x v="1"/>
    <x v="3"/>
    <s v="Gazipura 27"/>
    <x v="0"/>
    <x v="0"/>
    <n v="5000"/>
  </r>
  <r>
    <n v="139"/>
    <s v="ACX139"/>
    <s v="Nowshad Jahan"/>
    <x v="3"/>
    <x v="0"/>
    <x v="2"/>
    <x v="1"/>
    <x v="18"/>
    <x v="18"/>
    <x v="1"/>
    <x v="0"/>
    <x v="3"/>
    <s v="Gazipura 27"/>
    <x v="0"/>
    <x v="0"/>
    <n v="5000"/>
  </r>
  <r>
    <n v="140"/>
    <s v="ACX140"/>
    <s v="Khadija Akter Mukta"/>
    <x v="0"/>
    <x v="0"/>
    <x v="2"/>
    <x v="1"/>
    <x v="18"/>
    <x v="18"/>
    <x v="1"/>
    <x v="1"/>
    <x v="1"/>
    <s v="Sign board"/>
    <x v="2"/>
    <x v="0"/>
    <n v="5000"/>
  </r>
  <r>
    <n v="141"/>
    <s v="ACX141"/>
    <s v="Rafia Sultana Rabu"/>
    <x v="3"/>
    <x v="0"/>
    <x v="2"/>
    <x v="1"/>
    <x v="18"/>
    <x v="18"/>
    <x v="1"/>
    <x v="0"/>
    <x v="1"/>
    <s v="Boro Bari"/>
    <x v="2"/>
    <x v="0"/>
    <n v="5000"/>
  </r>
  <r>
    <n v="142"/>
    <s v="ACX142"/>
    <s v="Most. Asrifa Jarin"/>
    <x v="3"/>
    <x v="0"/>
    <x v="2"/>
    <x v="1"/>
    <x v="18"/>
    <x v="18"/>
    <x v="1"/>
    <x v="0"/>
    <x v="3"/>
    <s v="Board Bazar"/>
    <x v="2"/>
    <x v="0"/>
    <n v="5000"/>
  </r>
  <r>
    <n v="143"/>
    <s v="ACX143"/>
    <s v="Sumaya Akter Suma"/>
    <x v="3"/>
    <x v="0"/>
    <x v="2"/>
    <x v="1"/>
    <x v="18"/>
    <x v="18"/>
    <x v="1"/>
    <x v="0"/>
    <x v="2"/>
    <s v="Board Bazar"/>
    <x v="2"/>
    <x v="0"/>
    <n v="5000"/>
  </r>
  <r>
    <n v="144"/>
    <s v="ACX144"/>
    <s v="Mst. Lucky Khatun"/>
    <x v="3"/>
    <x v="0"/>
    <x v="2"/>
    <x v="1"/>
    <x v="18"/>
    <x v="18"/>
    <x v="1"/>
    <x v="0"/>
    <x v="1"/>
    <s v="Gazipura 27"/>
    <x v="0"/>
    <x v="0"/>
    <n v="5000"/>
  </r>
  <r>
    <n v="145"/>
    <s v="ACX145"/>
    <s v="Fardus Ahmed"/>
    <x v="0"/>
    <x v="0"/>
    <x v="2"/>
    <x v="1"/>
    <x v="18"/>
    <x v="18"/>
    <x v="0"/>
    <x v="0"/>
    <x v="2"/>
    <s v="Gazipura 27"/>
    <x v="0"/>
    <x v="0"/>
    <n v="5000"/>
  </r>
  <r>
    <n v="146"/>
    <s v="ACX146"/>
    <s v="Md. Alamin"/>
    <x v="2"/>
    <x v="0"/>
    <x v="2"/>
    <x v="1"/>
    <x v="18"/>
    <x v="18"/>
    <x v="0"/>
    <x v="0"/>
    <x v="3"/>
    <s v="Gazipura 27"/>
    <x v="0"/>
    <x v="0"/>
    <n v="5000"/>
  </r>
  <r>
    <n v="147"/>
    <s v="ACX147"/>
    <s v="Md. Nosib Uddin"/>
    <x v="2"/>
    <x v="0"/>
    <x v="2"/>
    <x v="1"/>
    <x v="18"/>
    <x v="18"/>
    <x v="0"/>
    <x v="0"/>
    <x v="0"/>
    <s v="Gazipura 27"/>
    <x v="0"/>
    <x v="0"/>
    <n v="5000"/>
  </r>
  <r>
    <n v="148"/>
    <s v="ACX148"/>
    <s v="Md. Mostafizur Rahman"/>
    <x v="2"/>
    <x v="0"/>
    <x v="2"/>
    <x v="1"/>
    <x v="18"/>
    <x v="18"/>
    <x v="0"/>
    <x v="0"/>
    <x v="1"/>
    <s v="Gazipura 27"/>
    <x v="0"/>
    <x v="0"/>
    <n v="5000"/>
  </r>
  <r>
    <n v="149"/>
    <s v="ACX149"/>
    <s v="Md. Habibur Rahman Habib"/>
    <x v="3"/>
    <x v="0"/>
    <x v="2"/>
    <x v="1"/>
    <x v="18"/>
    <x v="18"/>
    <x v="0"/>
    <x v="0"/>
    <x v="2"/>
    <s v="Gazipura 27"/>
    <x v="0"/>
    <x v="0"/>
    <n v="5000"/>
  </r>
  <r>
    <n v="150"/>
    <s v="ACX150"/>
    <s v="Asif Khan Jihad"/>
    <x v="0"/>
    <x v="0"/>
    <x v="2"/>
    <x v="1"/>
    <x v="18"/>
    <x v="18"/>
    <x v="0"/>
    <x v="0"/>
    <x v="2"/>
    <s v="Board Bazar"/>
    <x v="2"/>
    <x v="0"/>
    <n v="5000"/>
  </r>
  <r>
    <n v="151"/>
    <s v="ACX151"/>
    <s v="Md. Rasel Mia"/>
    <x v="5"/>
    <x v="0"/>
    <x v="2"/>
    <x v="1"/>
    <x v="18"/>
    <x v="18"/>
    <x v="0"/>
    <x v="0"/>
    <x v="1"/>
    <s v="Boro Bari"/>
    <x v="2"/>
    <x v="0"/>
    <n v="5000"/>
  </r>
  <r>
    <n v="152"/>
    <s v="ACX152"/>
    <s v="Apu Kumar Shaha"/>
    <x v="5"/>
    <x v="0"/>
    <x v="2"/>
    <x v="1"/>
    <x v="18"/>
    <x v="18"/>
    <x v="0"/>
    <x v="0"/>
    <x v="0"/>
    <s v="Gazipura 27"/>
    <x v="0"/>
    <x v="0"/>
    <n v="5000"/>
  </r>
  <r>
    <n v="153"/>
    <s v="ACX153"/>
    <s v="Ashraful Islam"/>
    <x v="5"/>
    <x v="0"/>
    <x v="2"/>
    <x v="1"/>
    <x v="18"/>
    <x v="18"/>
    <x v="0"/>
    <x v="0"/>
    <x v="2"/>
    <s v="Gazipura 27"/>
    <x v="0"/>
    <x v="0"/>
    <n v="5000"/>
  </r>
  <r>
    <n v="154"/>
    <s v="ACX154"/>
    <s v="Md. Abdul Matin"/>
    <x v="5"/>
    <x v="7"/>
    <x v="2"/>
    <x v="1"/>
    <x v="18"/>
    <x v="18"/>
    <x v="0"/>
    <x v="0"/>
    <x v="1"/>
    <s v="Gazipura 27"/>
    <x v="0"/>
    <x v="0"/>
    <n v="5000"/>
  </r>
  <r>
    <n v="155"/>
    <s v="ACX155"/>
    <s v="Samia Akter"/>
    <x v="3"/>
    <x v="0"/>
    <x v="2"/>
    <x v="1"/>
    <x v="18"/>
    <x v="18"/>
    <x v="1"/>
    <x v="0"/>
    <x v="1"/>
    <s v="Board Bazar"/>
    <x v="2"/>
    <x v="0"/>
    <n v="5000"/>
  </r>
  <r>
    <n v="156"/>
    <s v="ACX156"/>
    <s v="Md. Jahid Hossain Mamun"/>
    <x v="3"/>
    <x v="0"/>
    <x v="2"/>
    <x v="1"/>
    <x v="18"/>
    <x v="18"/>
    <x v="0"/>
    <x v="1"/>
    <x v="3"/>
    <s v="Board Bazar"/>
    <x v="2"/>
    <x v="0"/>
    <n v="5000"/>
  </r>
  <r>
    <n v="157"/>
    <s v="ACX157"/>
    <s v="Elias Hossain"/>
    <x v="2"/>
    <x v="0"/>
    <x v="2"/>
    <x v="1"/>
    <x v="18"/>
    <x v="18"/>
    <x v="0"/>
    <x v="1"/>
    <x v="0"/>
    <s v="Gazipura 27"/>
    <x v="0"/>
    <x v="0"/>
    <n v="5000"/>
  </r>
  <r>
    <n v="158"/>
    <s v="ACX158"/>
    <s v="Md. Shohan Mia"/>
    <x v="2"/>
    <x v="0"/>
    <x v="2"/>
    <x v="1"/>
    <x v="18"/>
    <x v="18"/>
    <x v="0"/>
    <x v="0"/>
    <x v="0"/>
    <s v="Gazipura 27"/>
    <x v="0"/>
    <x v="0"/>
    <n v="5000"/>
  </r>
  <r>
    <n v="159"/>
    <s v="ACX159"/>
    <s v="Md. Shahariyer Hasan Fahim Khondoker"/>
    <x v="2"/>
    <x v="0"/>
    <x v="2"/>
    <x v="1"/>
    <x v="18"/>
    <x v="18"/>
    <x v="0"/>
    <x v="0"/>
    <x v="1"/>
    <s v="Gazipur Chowrasta"/>
    <x v="1"/>
    <x v="0"/>
    <n v="5000"/>
  </r>
  <r>
    <n v="160"/>
    <s v="ACX160"/>
    <s v="Abu Hanif Sarker"/>
    <x v="3"/>
    <x v="0"/>
    <x v="2"/>
    <x v="1"/>
    <x v="19"/>
    <x v="19"/>
    <x v="0"/>
    <x v="0"/>
    <x v="0"/>
    <s v="Gazipur Chowrasta"/>
    <x v="1"/>
    <x v="0"/>
    <n v="5000"/>
  </r>
  <r>
    <n v="161"/>
    <s v="ACX161"/>
    <s v="Monirul Islam"/>
    <x v="2"/>
    <x v="0"/>
    <x v="2"/>
    <x v="1"/>
    <x v="19"/>
    <x v="19"/>
    <x v="0"/>
    <x v="0"/>
    <x v="0"/>
    <s v="Gazipura 27"/>
    <x v="0"/>
    <x v="0"/>
    <n v="5000"/>
  </r>
  <r>
    <n v="162"/>
    <s v="ACX162"/>
    <s v="Nadim Hossain"/>
    <x v="0"/>
    <x v="0"/>
    <x v="2"/>
    <x v="1"/>
    <x v="19"/>
    <x v="19"/>
    <x v="0"/>
    <x v="0"/>
    <x v="0"/>
    <s v="Gacha"/>
    <x v="2"/>
    <x v="0"/>
    <n v="5000"/>
  </r>
  <r>
    <n v="163"/>
    <s v="ACX163"/>
    <s v="Tarikul Islam"/>
    <x v="0"/>
    <x v="0"/>
    <x v="2"/>
    <x v="1"/>
    <x v="19"/>
    <x v="19"/>
    <x v="0"/>
    <x v="0"/>
    <x v="2"/>
    <s v="Bason"/>
    <x v="5"/>
    <x v="0"/>
    <n v="5000"/>
  </r>
  <r>
    <n v="164"/>
    <s v="ACX164"/>
    <s v="Ismail Jofiullah"/>
    <x v="0"/>
    <x v="0"/>
    <x v="2"/>
    <x v="1"/>
    <x v="19"/>
    <x v="19"/>
    <x v="0"/>
    <x v="0"/>
    <x v="5"/>
    <s v="Gazipura 27"/>
    <x v="0"/>
    <x v="0"/>
    <n v="5000"/>
  </r>
  <r>
    <n v="165"/>
    <s v="ACX165"/>
    <s v="Md. Shahparan Hossen"/>
    <x v="2"/>
    <x v="0"/>
    <x v="2"/>
    <x v="1"/>
    <x v="19"/>
    <x v="19"/>
    <x v="0"/>
    <x v="1"/>
    <x v="7"/>
    <s v="Gazipura 27"/>
    <x v="0"/>
    <x v="0"/>
    <n v="5000"/>
  </r>
  <r>
    <n v="166"/>
    <s v="ACX166"/>
    <s v="Khadiza Khatun"/>
    <x v="2"/>
    <x v="0"/>
    <x v="2"/>
    <x v="1"/>
    <x v="19"/>
    <x v="19"/>
    <x v="1"/>
    <x v="1"/>
    <x v="6"/>
    <s v="Gazipura 27"/>
    <x v="0"/>
    <x v="0"/>
    <n v="5000"/>
  </r>
  <r>
    <n v="167"/>
    <s v="ACX167"/>
    <s v="Sultana Razia"/>
    <x v="0"/>
    <x v="0"/>
    <x v="2"/>
    <x v="1"/>
    <x v="19"/>
    <x v="19"/>
    <x v="1"/>
    <x v="0"/>
    <x v="1"/>
    <s v="Gacha"/>
    <x v="2"/>
    <x v="0"/>
    <n v="5000"/>
  </r>
  <r>
    <n v="168"/>
    <s v="ACX168"/>
    <s v="Kamrun Nahar Dipti"/>
    <x v="0"/>
    <x v="0"/>
    <x v="2"/>
    <x v="1"/>
    <x v="19"/>
    <x v="19"/>
    <x v="1"/>
    <x v="0"/>
    <x v="1"/>
    <s v="Board Bazar"/>
    <x v="2"/>
    <x v="0"/>
    <n v="5000"/>
  </r>
  <r>
    <n v="169"/>
    <s v="ACX169"/>
    <s v="Jafrina Alam Jannat"/>
    <x v="3"/>
    <x v="0"/>
    <x v="2"/>
    <x v="1"/>
    <x v="19"/>
    <x v="19"/>
    <x v="1"/>
    <x v="0"/>
    <x v="2"/>
    <s v="Ershad Nagar"/>
    <x v="0"/>
    <x v="0"/>
    <n v="5000"/>
  </r>
  <r>
    <n v="170"/>
    <s v="ACX170"/>
    <s v="Tania Akter"/>
    <x v="2"/>
    <x v="0"/>
    <x v="2"/>
    <x v="1"/>
    <x v="19"/>
    <x v="19"/>
    <x v="1"/>
    <x v="0"/>
    <x v="2"/>
    <s v="Board Bazar"/>
    <x v="2"/>
    <x v="0"/>
    <n v="5000"/>
  </r>
  <r>
    <n v="171"/>
    <s v="ACX171"/>
    <s v="Razia"/>
    <x v="2"/>
    <x v="0"/>
    <x v="2"/>
    <x v="1"/>
    <x v="19"/>
    <x v="19"/>
    <x v="1"/>
    <x v="0"/>
    <x v="2"/>
    <s v="Ershad Nagar"/>
    <x v="0"/>
    <x v="0"/>
    <n v="5000"/>
  </r>
  <r>
    <n v="172"/>
    <s v="ACX172"/>
    <s v="Shamir Das"/>
    <x v="5"/>
    <x v="0"/>
    <x v="2"/>
    <x v="1"/>
    <x v="19"/>
    <x v="19"/>
    <x v="0"/>
    <x v="0"/>
    <x v="2"/>
    <s v="Gazipura 27"/>
    <x v="0"/>
    <x v="0"/>
    <n v="5000"/>
  </r>
  <r>
    <n v="173"/>
    <s v="ACX173"/>
    <s v="Nurul Islam"/>
    <x v="0"/>
    <x v="0"/>
    <x v="2"/>
    <x v="1"/>
    <x v="19"/>
    <x v="19"/>
    <x v="0"/>
    <x v="0"/>
    <x v="1"/>
    <s v="Board Bazar"/>
    <x v="2"/>
    <x v="0"/>
    <n v="5000"/>
  </r>
  <r>
    <n v="174"/>
    <s v="ACX174"/>
    <s v="Murshida Khatun"/>
    <x v="2"/>
    <x v="0"/>
    <x v="2"/>
    <x v="1"/>
    <x v="19"/>
    <x v="19"/>
    <x v="1"/>
    <x v="1"/>
    <x v="0"/>
    <s v="Gazipura 27"/>
    <x v="0"/>
    <x v="0"/>
    <n v="5000"/>
  </r>
  <r>
    <n v="175"/>
    <s v="ACX175"/>
    <s v="Nilufa Akter Lily"/>
    <x v="2"/>
    <x v="0"/>
    <x v="2"/>
    <x v="1"/>
    <x v="19"/>
    <x v="19"/>
    <x v="1"/>
    <x v="0"/>
    <x v="0"/>
    <s v="Hossen Market"/>
    <x v="0"/>
    <x v="0"/>
    <n v="5000"/>
  </r>
  <r>
    <n v="176"/>
    <s v="ACX176"/>
    <s v="Modina Chowdhury"/>
    <x v="3"/>
    <x v="0"/>
    <x v="2"/>
    <x v="1"/>
    <x v="20"/>
    <x v="20"/>
    <x v="1"/>
    <x v="1"/>
    <x v="5"/>
    <s v="Vogra Baypass"/>
    <x v="1"/>
    <x v="0"/>
    <n v="5000"/>
  </r>
  <r>
    <n v="177"/>
    <s v="ACX177"/>
    <s v="Md. Ali Al Nur Mahi"/>
    <x v="3"/>
    <x v="0"/>
    <x v="2"/>
    <x v="1"/>
    <x v="20"/>
    <x v="20"/>
    <x v="0"/>
    <x v="0"/>
    <x v="0"/>
    <s v="Board Bazar"/>
    <x v="2"/>
    <x v="0"/>
    <n v="5000"/>
  </r>
  <r>
    <n v="178"/>
    <s v="ACX178"/>
    <s v="Md. Mehedi Hassan"/>
    <x v="0"/>
    <x v="0"/>
    <x v="2"/>
    <x v="1"/>
    <x v="20"/>
    <x v="20"/>
    <x v="0"/>
    <x v="0"/>
    <x v="0"/>
    <s v="Ershad Nagar"/>
    <x v="0"/>
    <x v="0"/>
    <n v="5000"/>
  </r>
  <r>
    <n v="179"/>
    <s v="ACX179"/>
    <s v="Hasnat Shah Emon"/>
    <x v="0"/>
    <x v="0"/>
    <x v="2"/>
    <x v="1"/>
    <x v="20"/>
    <x v="20"/>
    <x v="0"/>
    <x v="0"/>
    <x v="1"/>
    <s v="Gazipura 27"/>
    <x v="0"/>
    <x v="0"/>
    <n v="5000"/>
  </r>
  <r>
    <n v="180"/>
    <s v="ACX180"/>
    <s v="Al Amin"/>
    <x v="2"/>
    <x v="6"/>
    <x v="2"/>
    <x v="1"/>
    <x v="20"/>
    <x v="20"/>
    <x v="0"/>
    <x v="0"/>
    <x v="1"/>
    <s v="Gazipura 27"/>
    <x v="0"/>
    <x v="0"/>
    <n v="5000"/>
  </r>
  <r>
    <n v="181"/>
    <s v="ACX181"/>
    <s v="Md. Borhan Miah"/>
    <x v="2"/>
    <x v="0"/>
    <x v="2"/>
    <x v="1"/>
    <x v="20"/>
    <x v="20"/>
    <x v="0"/>
    <x v="0"/>
    <x v="0"/>
    <s v="Gazipura 27"/>
    <x v="0"/>
    <x v="0"/>
    <n v="5000"/>
  </r>
  <r>
    <n v="182"/>
    <s v="ACX182"/>
    <s v="Rasidul Islam"/>
    <x v="5"/>
    <x v="2"/>
    <x v="1"/>
    <x v="1"/>
    <x v="21"/>
    <x v="21"/>
    <x v="0"/>
    <x v="1"/>
    <x v="1"/>
    <s v="Gazipura 27"/>
    <x v="0"/>
    <x v="0"/>
    <n v="5000"/>
  </r>
  <r>
    <n v="183"/>
    <s v="ACX183"/>
    <s v="Most. Tania Sultana"/>
    <x v="2"/>
    <x v="0"/>
    <x v="2"/>
    <x v="1"/>
    <x v="21"/>
    <x v="21"/>
    <x v="1"/>
    <x v="0"/>
    <x v="1"/>
    <s v="Gazipura 27"/>
    <x v="0"/>
    <x v="0"/>
    <n v="5000"/>
  </r>
  <r>
    <n v="184"/>
    <s v="ACX184"/>
    <s v="Khadiza Akter"/>
    <x v="3"/>
    <x v="0"/>
    <x v="2"/>
    <x v="1"/>
    <x v="21"/>
    <x v="21"/>
    <x v="1"/>
    <x v="0"/>
    <x v="1"/>
    <s v="Gazipura 27"/>
    <x v="0"/>
    <x v="0"/>
    <n v="5000"/>
  </r>
  <r>
    <n v="185"/>
    <s v="ACX185"/>
    <s v="Amina Akter"/>
    <x v="2"/>
    <x v="0"/>
    <x v="2"/>
    <x v="1"/>
    <x v="21"/>
    <x v="21"/>
    <x v="1"/>
    <x v="0"/>
    <x v="1"/>
    <s v="Gazipura 27"/>
    <x v="0"/>
    <x v="0"/>
    <n v="5000"/>
  </r>
  <r>
    <n v="186"/>
    <s v="ACX186"/>
    <s v="Md. Nazmul Hossain"/>
    <x v="3"/>
    <x v="0"/>
    <x v="2"/>
    <x v="1"/>
    <x v="21"/>
    <x v="21"/>
    <x v="0"/>
    <x v="0"/>
    <x v="2"/>
    <s v="Ershad Nagar"/>
    <x v="0"/>
    <x v="0"/>
    <n v="5000"/>
  </r>
  <r>
    <n v="187"/>
    <s v="ACX187"/>
    <s v="Sagar Raha"/>
    <x v="3"/>
    <x v="7"/>
    <x v="2"/>
    <x v="1"/>
    <x v="21"/>
    <x v="21"/>
    <x v="0"/>
    <x v="0"/>
    <x v="2"/>
    <s v="Gazipur Chowrasta"/>
    <x v="1"/>
    <x v="0"/>
    <n v="5000"/>
  </r>
  <r>
    <n v="188"/>
    <s v="ACX188"/>
    <s v="Md. Shamim Hossain"/>
    <x v="0"/>
    <x v="0"/>
    <x v="2"/>
    <x v="1"/>
    <x v="21"/>
    <x v="21"/>
    <x v="0"/>
    <x v="0"/>
    <x v="0"/>
    <s v="Gazipura 27"/>
    <x v="0"/>
    <x v="0"/>
    <n v="5000"/>
  </r>
  <r>
    <n v="189"/>
    <s v="ACX189"/>
    <s v="Md. Rofiqul Islam Khan"/>
    <x v="0"/>
    <x v="0"/>
    <x v="2"/>
    <x v="1"/>
    <x v="21"/>
    <x v="21"/>
    <x v="0"/>
    <x v="0"/>
    <x v="0"/>
    <s v="Board Bazar"/>
    <x v="2"/>
    <x v="0"/>
    <n v="5000"/>
  </r>
  <r>
    <n v="190"/>
    <s v="ACX190"/>
    <s v="Sifat Ullah Chowdury"/>
    <x v="2"/>
    <x v="0"/>
    <x v="2"/>
    <x v="1"/>
    <x v="21"/>
    <x v="21"/>
    <x v="0"/>
    <x v="0"/>
    <x v="2"/>
    <s v="Gazipura 27"/>
    <x v="0"/>
    <x v="0"/>
    <n v="5000"/>
  </r>
  <r>
    <n v="191"/>
    <s v="ACX191"/>
    <s v="Mamun Mia"/>
    <x v="2"/>
    <x v="0"/>
    <x v="2"/>
    <x v="1"/>
    <x v="21"/>
    <x v="21"/>
    <x v="0"/>
    <x v="0"/>
    <x v="2"/>
    <s v="Gazipura 27"/>
    <x v="0"/>
    <x v="0"/>
    <n v="5000"/>
  </r>
  <r>
    <n v="192"/>
    <s v="ACX192"/>
    <s v="Md. Rasel Sikdar"/>
    <x v="5"/>
    <x v="7"/>
    <x v="2"/>
    <x v="1"/>
    <x v="21"/>
    <x v="21"/>
    <x v="0"/>
    <x v="0"/>
    <x v="1"/>
    <s v="Gazipura 27"/>
    <x v="0"/>
    <x v="0"/>
    <n v="5000"/>
  </r>
  <r>
    <n v="193"/>
    <s v="ACX193"/>
    <s v="Gulshan Negar Khan Tumpa"/>
    <x v="2"/>
    <x v="0"/>
    <x v="2"/>
    <x v="1"/>
    <x v="21"/>
    <x v="21"/>
    <x v="1"/>
    <x v="0"/>
    <x v="2"/>
    <s v="Board Bazar"/>
    <x v="2"/>
    <x v="0"/>
    <n v="5000"/>
  </r>
  <r>
    <n v="194"/>
    <s v="ACX194"/>
    <s v="Aysha Akter"/>
    <x v="3"/>
    <x v="0"/>
    <x v="2"/>
    <x v="1"/>
    <x v="21"/>
    <x v="21"/>
    <x v="1"/>
    <x v="0"/>
    <x v="0"/>
    <s v="Gazipur Chowrasta"/>
    <x v="1"/>
    <x v="0"/>
    <n v="5000"/>
  </r>
  <r>
    <n v="195"/>
    <s v="ACX195"/>
    <s v="Mosammad Shamsunnahar"/>
    <x v="2"/>
    <x v="0"/>
    <x v="2"/>
    <x v="1"/>
    <x v="21"/>
    <x v="21"/>
    <x v="1"/>
    <x v="0"/>
    <x v="1"/>
    <s v="Board Bazar"/>
    <x v="2"/>
    <x v="0"/>
    <n v="5000"/>
  </r>
  <r>
    <n v="196"/>
    <s v="ACX196"/>
    <s v="Jannatul Ferdusy Keya"/>
    <x v="2"/>
    <x v="0"/>
    <x v="2"/>
    <x v="1"/>
    <x v="21"/>
    <x v="21"/>
    <x v="1"/>
    <x v="0"/>
    <x v="0"/>
    <s v="Gazipura 27"/>
    <x v="0"/>
    <x v="0"/>
    <n v="5000"/>
  </r>
  <r>
    <n v="197"/>
    <s v="ACX197"/>
    <s v="Fatama Akter Mitu"/>
    <x v="2"/>
    <x v="0"/>
    <x v="2"/>
    <x v="1"/>
    <x v="21"/>
    <x v="21"/>
    <x v="1"/>
    <x v="0"/>
    <x v="1"/>
    <s v="Gazipura 27"/>
    <x v="0"/>
    <x v="0"/>
    <n v="5000"/>
  </r>
  <r>
    <n v="198"/>
    <s v="ACX198"/>
    <s v="Mst. Rupali Akter"/>
    <x v="0"/>
    <x v="0"/>
    <x v="2"/>
    <x v="1"/>
    <x v="21"/>
    <x v="21"/>
    <x v="1"/>
    <x v="0"/>
    <x v="0"/>
    <s v="Board Bazar"/>
    <x v="2"/>
    <x v="0"/>
    <n v="5000"/>
  </r>
  <r>
    <n v="199"/>
    <s v="ACX199"/>
    <s v="Monira Akter"/>
    <x v="3"/>
    <x v="0"/>
    <x v="2"/>
    <x v="1"/>
    <x v="21"/>
    <x v="21"/>
    <x v="1"/>
    <x v="0"/>
    <x v="0"/>
    <s v="Board Bazar"/>
    <x v="2"/>
    <x v="0"/>
    <n v="5000"/>
  </r>
  <r>
    <n v="200"/>
    <s v="ACX200"/>
    <s v="Shawon Kabir Hira"/>
    <x v="3"/>
    <x v="0"/>
    <x v="2"/>
    <x v="1"/>
    <x v="21"/>
    <x v="21"/>
    <x v="0"/>
    <x v="0"/>
    <x v="5"/>
    <s v="Ershad Nagar"/>
    <x v="0"/>
    <x v="0"/>
    <n v="5000"/>
  </r>
  <r>
    <n v="201"/>
    <s v="ACX201"/>
    <s v="Md. Raihanul Haque"/>
    <x v="2"/>
    <x v="0"/>
    <x v="2"/>
    <x v="1"/>
    <x v="21"/>
    <x v="21"/>
    <x v="0"/>
    <x v="0"/>
    <x v="2"/>
    <s v="Board Bazar"/>
    <x v="2"/>
    <x v="0"/>
    <n v="5000"/>
  </r>
  <r>
    <n v="202"/>
    <s v="ACX202"/>
    <s v="Swapna Akter Runa"/>
    <x v="5"/>
    <x v="0"/>
    <x v="2"/>
    <x v="1"/>
    <x v="21"/>
    <x v="21"/>
    <x v="1"/>
    <x v="0"/>
    <x v="3"/>
    <s v="Vogra Baypass"/>
    <x v="1"/>
    <x v="0"/>
    <n v="5000"/>
  </r>
  <r>
    <n v="203"/>
    <s v="ACX203"/>
    <s v="Mst. Liza Moni"/>
    <x v="2"/>
    <x v="0"/>
    <x v="2"/>
    <x v="1"/>
    <x v="21"/>
    <x v="21"/>
    <x v="1"/>
    <x v="0"/>
    <x v="2"/>
    <s v="Board Bazar"/>
    <x v="2"/>
    <x v="0"/>
    <n v="5000"/>
  </r>
  <r>
    <n v="204"/>
    <s v="ACX204"/>
    <s v="Sathia Akter"/>
    <x v="3"/>
    <x v="0"/>
    <x v="2"/>
    <x v="1"/>
    <x v="21"/>
    <x v="21"/>
    <x v="1"/>
    <x v="0"/>
    <x v="1"/>
    <s v="Gazipura 27"/>
    <x v="0"/>
    <x v="0"/>
    <n v="5000"/>
  </r>
  <r>
    <n v="205"/>
    <s v="ACX205"/>
    <s v="Sumaya Shemu"/>
    <x v="3"/>
    <x v="0"/>
    <x v="2"/>
    <x v="1"/>
    <x v="21"/>
    <x v="21"/>
    <x v="1"/>
    <x v="1"/>
    <x v="1"/>
    <s v="Gazipura 27"/>
    <x v="0"/>
    <x v="0"/>
    <n v="5000"/>
  </r>
  <r>
    <n v="206"/>
    <s v="ACX206"/>
    <s v="Aktarina Khatun"/>
    <x v="3"/>
    <x v="0"/>
    <x v="2"/>
    <x v="1"/>
    <x v="21"/>
    <x v="21"/>
    <x v="1"/>
    <x v="0"/>
    <x v="2"/>
    <s v="Gazipura 27"/>
    <x v="0"/>
    <x v="0"/>
    <n v="5000"/>
  </r>
  <r>
    <n v="207"/>
    <s v="ACX207"/>
    <s v="Simanto Roy"/>
    <x v="3"/>
    <x v="0"/>
    <x v="2"/>
    <x v="1"/>
    <x v="21"/>
    <x v="21"/>
    <x v="0"/>
    <x v="0"/>
    <x v="0"/>
    <s v="Gazipura 27"/>
    <x v="0"/>
    <x v="0"/>
    <n v="5000"/>
  </r>
  <r>
    <n v="208"/>
    <s v="ACX208"/>
    <s v="Atikur Rahman"/>
    <x v="3"/>
    <x v="7"/>
    <x v="2"/>
    <x v="1"/>
    <x v="22"/>
    <x v="22"/>
    <x v="0"/>
    <x v="0"/>
    <x v="0"/>
    <s v="Gazipura 27"/>
    <x v="0"/>
    <x v="0"/>
    <n v="5000"/>
  </r>
  <r>
    <n v="209"/>
    <s v="ACX209"/>
    <s v="Tahmina Akter"/>
    <x v="3"/>
    <x v="0"/>
    <x v="2"/>
    <x v="1"/>
    <x v="22"/>
    <x v="22"/>
    <x v="1"/>
    <x v="0"/>
    <x v="1"/>
    <s v="Gazipura 27"/>
    <x v="0"/>
    <x v="0"/>
    <n v="5000"/>
  </r>
  <r>
    <n v="210"/>
    <s v="ACX210"/>
    <s v="Tahia Akther Dina"/>
    <x v="2"/>
    <x v="0"/>
    <x v="2"/>
    <x v="1"/>
    <x v="22"/>
    <x v="22"/>
    <x v="1"/>
    <x v="0"/>
    <x v="0"/>
    <s v="Boro Bari"/>
    <x v="2"/>
    <x v="0"/>
    <n v="5000"/>
  </r>
  <r>
    <n v="211"/>
    <s v="ACX211"/>
    <s v="Shabnur Akter"/>
    <x v="0"/>
    <x v="0"/>
    <x v="2"/>
    <x v="1"/>
    <x v="22"/>
    <x v="22"/>
    <x v="1"/>
    <x v="0"/>
    <x v="2"/>
    <s v="Board Bazar"/>
    <x v="2"/>
    <x v="0"/>
    <n v="5000"/>
  </r>
  <r>
    <n v="212"/>
    <s v="ACX212"/>
    <s v="Prity Rani sarker"/>
    <x v="3"/>
    <x v="0"/>
    <x v="2"/>
    <x v="1"/>
    <x v="22"/>
    <x v="22"/>
    <x v="1"/>
    <x v="0"/>
    <x v="0"/>
    <s v="Gazipur Sadar"/>
    <x v="3"/>
    <x v="0"/>
    <n v="5000"/>
  </r>
  <r>
    <n v="213"/>
    <s v="ACX213"/>
    <s v="Mursheda"/>
    <x v="2"/>
    <x v="0"/>
    <x v="2"/>
    <x v="1"/>
    <x v="22"/>
    <x v="22"/>
    <x v="1"/>
    <x v="1"/>
    <x v="1"/>
    <s v="Gazipura 27"/>
    <x v="0"/>
    <x v="0"/>
    <n v="5000"/>
  </r>
  <r>
    <n v="214"/>
    <s v="ACX214"/>
    <s v="Zakia akter Jui"/>
    <x v="0"/>
    <x v="0"/>
    <x v="2"/>
    <x v="1"/>
    <x v="22"/>
    <x v="22"/>
    <x v="1"/>
    <x v="0"/>
    <x v="1"/>
    <s v="Gazipura 27"/>
    <x v="0"/>
    <x v="0"/>
    <n v="5000"/>
  </r>
  <r>
    <n v="215"/>
    <s v="ACX215"/>
    <s v="Sultan Mahmud"/>
    <x v="3"/>
    <x v="0"/>
    <x v="2"/>
    <x v="1"/>
    <x v="22"/>
    <x v="22"/>
    <x v="0"/>
    <x v="0"/>
    <x v="2"/>
    <s v="Gazipura 27"/>
    <x v="0"/>
    <x v="0"/>
    <n v="5000"/>
  </r>
  <r>
    <n v="216"/>
    <s v="ACX216"/>
    <s v="Shakil Mia"/>
    <x v="3"/>
    <x v="0"/>
    <x v="2"/>
    <x v="1"/>
    <x v="22"/>
    <x v="22"/>
    <x v="0"/>
    <x v="1"/>
    <x v="0"/>
    <s v="Gazipura 27"/>
    <x v="0"/>
    <x v="0"/>
    <n v="5000"/>
  </r>
  <r>
    <n v="217"/>
    <s v="ACX217"/>
    <s v="Md. Chonok Mia"/>
    <x v="2"/>
    <x v="0"/>
    <x v="2"/>
    <x v="1"/>
    <x v="22"/>
    <x v="22"/>
    <x v="0"/>
    <x v="0"/>
    <x v="2"/>
    <s v="Gazipura 27"/>
    <x v="0"/>
    <x v="0"/>
    <n v="5000"/>
  </r>
  <r>
    <n v="218"/>
    <s v="ACX218"/>
    <s v="Md. Suhad Un Nabby Sohag"/>
    <x v="3"/>
    <x v="0"/>
    <x v="2"/>
    <x v="1"/>
    <x v="22"/>
    <x v="22"/>
    <x v="0"/>
    <x v="0"/>
    <x v="2"/>
    <s v="Gazipura 27"/>
    <x v="0"/>
    <x v="0"/>
    <n v="5000"/>
  </r>
  <r>
    <n v="219"/>
    <s v="ACX219"/>
    <s v="Md. Hridoy Mia"/>
    <x v="0"/>
    <x v="0"/>
    <x v="2"/>
    <x v="1"/>
    <x v="22"/>
    <x v="22"/>
    <x v="0"/>
    <x v="0"/>
    <x v="1"/>
    <s v="Board Bazar"/>
    <x v="2"/>
    <x v="0"/>
    <n v="5000"/>
  </r>
  <r>
    <n v="220"/>
    <s v="ACX220"/>
    <s v="Rafiqul Islam Rabbi"/>
    <x v="3"/>
    <x v="0"/>
    <x v="2"/>
    <x v="1"/>
    <x v="22"/>
    <x v="22"/>
    <x v="0"/>
    <x v="0"/>
    <x v="2"/>
    <s v="Kolambiya"/>
    <x v="1"/>
    <x v="0"/>
    <n v="5000"/>
  </r>
  <r>
    <n v="221"/>
    <s v="ACX221"/>
    <s v="Sumaiya Akter"/>
    <x v="3"/>
    <x v="0"/>
    <x v="2"/>
    <x v="1"/>
    <x v="22"/>
    <x v="22"/>
    <x v="1"/>
    <x v="0"/>
    <x v="2"/>
    <s v="Ershad Nagar"/>
    <x v="0"/>
    <x v="0"/>
    <n v="5000"/>
  </r>
  <r>
    <n v="222"/>
    <s v="ACX222"/>
    <s v="Md. Mamunur Rashid Mamun"/>
    <x v="2"/>
    <x v="7"/>
    <x v="2"/>
    <x v="1"/>
    <x v="22"/>
    <x v="22"/>
    <x v="0"/>
    <x v="0"/>
    <x v="2"/>
    <s v="Gazipura 27"/>
    <x v="0"/>
    <x v="0"/>
    <n v="5000"/>
  </r>
  <r>
    <n v="223"/>
    <s v="ACX223"/>
    <s v="Md. Monir Uzzaman"/>
    <x v="3"/>
    <x v="0"/>
    <x v="2"/>
    <x v="1"/>
    <x v="22"/>
    <x v="22"/>
    <x v="0"/>
    <x v="0"/>
    <x v="0"/>
    <s v="Boro Bari"/>
    <x v="2"/>
    <x v="0"/>
    <n v="5000"/>
  </r>
  <r>
    <n v="224"/>
    <s v="ACX224"/>
    <s v="Mst. Monika Akter"/>
    <x v="3"/>
    <x v="0"/>
    <x v="2"/>
    <x v="1"/>
    <x v="22"/>
    <x v="22"/>
    <x v="1"/>
    <x v="0"/>
    <x v="0"/>
    <s v="Gacha"/>
    <x v="2"/>
    <x v="0"/>
    <n v="5000"/>
  </r>
  <r>
    <n v="225"/>
    <s v="ACX225"/>
    <s v="Md. Ali Hamza Sagor"/>
    <x v="0"/>
    <x v="0"/>
    <x v="2"/>
    <x v="1"/>
    <x v="23"/>
    <x v="23"/>
    <x v="0"/>
    <x v="0"/>
    <x v="0"/>
    <s v="Gacha"/>
    <x v="2"/>
    <x v="0"/>
    <n v="5000"/>
  </r>
  <r>
    <n v="226"/>
    <s v="ACX226"/>
    <s v="Mehedi Hasan Shahed"/>
    <x v="2"/>
    <x v="0"/>
    <x v="2"/>
    <x v="1"/>
    <x v="23"/>
    <x v="23"/>
    <x v="0"/>
    <x v="0"/>
    <x v="0"/>
    <s v="Ershad Nagar"/>
    <x v="0"/>
    <x v="0"/>
    <n v="5000"/>
  </r>
  <r>
    <n v="227"/>
    <s v="ACX227"/>
    <s v="Shajib Ahmed"/>
    <x v="3"/>
    <x v="0"/>
    <x v="2"/>
    <x v="1"/>
    <x v="23"/>
    <x v="23"/>
    <x v="0"/>
    <x v="0"/>
    <x v="5"/>
    <s v="Gacha"/>
    <x v="2"/>
    <x v="0"/>
    <n v="5000"/>
  </r>
  <r>
    <n v="228"/>
    <s v="ACX228"/>
    <s v="Md. Parvez"/>
    <x v="2"/>
    <x v="0"/>
    <x v="2"/>
    <x v="1"/>
    <x v="23"/>
    <x v="23"/>
    <x v="0"/>
    <x v="0"/>
    <x v="1"/>
    <s v="Ershad Nagar"/>
    <x v="0"/>
    <x v="0"/>
    <n v="5000"/>
  </r>
  <r>
    <n v="229"/>
    <s v="ACX229"/>
    <s v="Mahfuja Benta Mubarak"/>
    <x v="3"/>
    <x v="0"/>
    <x v="2"/>
    <x v="1"/>
    <x v="24"/>
    <x v="24"/>
    <x v="1"/>
    <x v="0"/>
    <x v="0"/>
    <s v="Board Bazar"/>
    <x v="2"/>
    <x v="0"/>
    <n v="5000"/>
  </r>
  <r>
    <n v="230"/>
    <s v="ACX230"/>
    <s v="Most. Saima Khanum Doly"/>
    <x v="3"/>
    <x v="0"/>
    <x v="2"/>
    <x v="1"/>
    <x v="24"/>
    <x v="24"/>
    <x v="1"/>
    <x v="0"/>
    <x v="3"/>
    <s v="Gazipura 27"/>
    <x v="0"/>
    <x v="0"/>
    <n v="5000"/>
  </r>
  <r>
    <n v="231"/>
    <s v="ACX231"/>
    <s v="Suma Khatun"/>
    <x v="3"/>
    <x v="0"/>
    <x v="2"/>
    <x v="1"/>
    <x v="24"/>
    <x v="24"/>
    <x v="1"/>
    <x v="0"/>
    <x v="0"/>
    <s v="Gazipura 27"/>
    <x v="0"/>
    <x v="0"/>
    <n v="5000"/>
  </r>
  <r>
    <n v="232"/>
    <s v="ACX232"/>
    <s v="Md. Alek Sardar"/>
    <x v="5"/>
    <x v="0"/>
    <x v="2"/>
    <x v="1"/>
    <x v="24"/>
    <x v="24"/>
    <x v="0"/>
    <x v="0"/>
    <x v="0"/>
    <s v="Gazipura 27"/>
    <x v="0"/>
    <x v="0"/>
    <n v="5000"/>
  </r>
  <r>
    <n v="233"/>
    <s v="ACX233"/>
    <s v="Md. Zawad Bin Mostafa"/>
    <x v="3"/>
    <x v="0"/>
    <x v="2"/>
    <x v="1"/>
    <x v="24"/>
    <x v="24"/>
    <x v="0"/>
    <x v="0"/>
    <x v="3"/>
    <s v="Gazipur Sadar"/>
    <x v="3"/>
    <x v="0"/>
    <n v="5000"/>
  </r>
  <r>
    <n v="234"/>
    <s v="ACX234"/>
    <s v="Marjana"/>
    <x v="3"/>
    <x v="0"/>
    <x v="2"/>
    <x v="1"/>
    <x v="24"/>
    <x v="24"/>
    <x v="1"/>
    <x v="1"/>
    <x v="1"/>
    <s v="Gazipura 27"/>
    <x v="0"/>
    <x v="0"/>
    <n v="5000"/>
  </r>
  <r>
    <n v="235"/>
    <s v="ACX235"/>
    <s v="Mst. Mim"/>
    <x v="3"/>
    <x v="0"/>
    <x v="2"/>
    <x v="1"/>
    <x v="24"/>
    <x v="24"/>
    <x v="1"/>
    <x v="0"/>
    <x v="1"/>
    <s v="Vogra Baypass"/>
    <x v="1"/>
    <x v="0"/>
    <n v="5000"/>
  </r>
  <r>
    <n v="236"/>
    <s v="ACX236"/>
    <s v="Sumaya Akter Mim"/>
    <x v="3"/>
    <x v="0"/>
    <x v="2"/>
    <x v="1"/>
    <x v="24"/>
    <x v="24"/>
    <x v="1"/>
    <x v="0"/>
    <x v="1"/>
    <s v="Ershad Nagar"/>
    <x v="0"/>
    <x v="0"/>
    <n v="5000"/>
  </r>
  <r>
    <n v="237"/>
    <s v="ACX237"/>
    <s v="Taslima Akter"/>
    <x v="3"/>
    <x v="0"/>
    <x v="2"/>
    <x v="1"/>
    <x v="24"/>
    <x v="24"/>
    <x v="1"/>
    <x v="1"/>
    <x v="8"/>
    <s v="Boro Bari "/>
    <x v="2"/>
    <x v="0"/>
    <n v="5000"/>
  </r>
  <r>
    <n v="238"/>
    <s v="ACX238"/>
    <s v="Md. Abu Nayim"/>
    <x v="3"/>
    <x v="0"/>
    <x v="2"/>
    <x v="1"/>
    <x v="24"/>
    <x v="24"/>
    <x v="0"/>
    <x v="0"/>
    <x v="3"/>
    <s v="Board Bazar"/>
    <x v="2"/>
    <x v="0"/>
    <n v="5000"/>
  </r>
  <r>
    <n v="239"/>
    <s v="ACX239"/>
    <s v="Tithi Biswas"/>
    <x v="2"/>
    <x v="0"/>
    <x v="2"/>
    <x v="1"/>
    <x v="24"/>
    <x v="24"/>
    <x v="1"/>
    <x v="1"/>
    <x v="3"/>
    <s v="Gazipura 27"/>
    <x v="0"/>
    <x v="0"/>
    <n v="5000"/>
  </r>
  <r>
    <n v="240"/>
    <s v="ACX240"/>
    <s v="Samapto Bala Uraw"/>
    <x v="3"/>
    <x v="0"/>
    <x v="2"/>
    <x v="1"/>
    <x v="24"/>
    <x v="24"/>
    <x v="1"/>
    <x v="0"/>
    <x v="3"/>
    <s v="Gazipura 27"/>
    <x v="0"/>
    <x v="0"/>
    <n v="5000"/>
  </r>
  <r>
    <n v="241"/>
    <s v="ACX241"/>
    <s v="Rita Akter Ety"/>
    <x v="0"/>
    <x v="0"/>
    <x v="2"/>
    <x v="1"/>
    <x v="24"/>
    <x v="24"/>
    <x v="1"/>
    <x v="0"/>
    <x v="5"/>
    <s v="Ershad Nagar"/>
    <x v="0"/>
    <x v="0"/>
    <n v="5000"/>
  </r>
  <r>
    <n v="242"/>
    <s v="ACX242"/>
    <s v="Md. Arman Ahmeed"/>
    <x v="3"/>
    <x v="0"/>
    <x v="2"/>
    <x v="1"/>
    <x v="24"/>
    <x v="24"/>
    <x v="0"/>
    <x v="0"/>
    <x v="0"/>
    <s v="Board Bazar"/>
    <x v="2"/>
    <x v="0"/>
    <n v="5000"/>
  </r>
  <r>
    <n v="243"/>
    <s v="ACX243"/>
    <s v="G.M Golam Mostafa"/>
    <x v="3"/>
    <x v="0"/>
    <x v="2"/>
    <x v="1"/>
    <x v="25"/>
    <x v="25"/>
    <x v="0"/>
    <x v="0"/>
    <x v="2"/>
    <s v="Gazipura 27"/>
    <x v="0"/>
    <x v="0"/>
    <n v="5000"/>
  </r>
  <r>
    <n v="244"/>
    <s v="ACX244"/>
    <s v="Meher Afrin Moli"/>
    <x v="2"/>
    <x v="0"/>
    <x v="2"/>
    <x v="1"/>
    <x v="25"/>
    <x v="25"/>
    <x v="1"/>
    <x v="0"/>
    <x v="3"/>
    <s v="Board Bazar"/>
    <x v="2"/>
    <x v="0"/>
    <n v="5000"/>
  </r>
  <r>
    <n v="245"/>
    <s v="ACX245"/>
    <s v="Khadija islam Mou"/>
    <x v="3"/>
    <x v="0"/>
    <x v="2"/>
    <x v="1"/>
    <x v="25"/>
    <x v="25"/>
    <x v="1"/>
    <x v="0"/>
    <x v="2"/>
    <s v="Board Bazar"/>
    <x v="2"/>
    <x v="0"/>
    <n v="5000"/>
  </r>
  <r>
    <n v="246"/>
    <s v="ACX246"/>
    <s v="Md. Rakibul Hasan"/>
    <x v="3"/>
    <x v="0"/>
    <x v="2"/>
    <x v="1"/>
    <x v="25"/>
    <x v="25"/>
    <x v="0"/>
    <x v="0"/>
    <x v="0"/>
    <s v="Uttara"/>
    <x v="1"/>
    <x v="0"/>
    <n v="5000"/>
  </r>
  <r>
    <n v="247"/>
    <s v="ACX247"/>
    <s v="Afroja Akter Kona"/>
    <x v="0"/>
    <x v="0"/>
    <x v="2"/>
    <x v="1"/>
    <x v="25"/>
    <x v="25"/>
    <x v="1"/>
    <x v="0"/>
    <x v="1"/>
    <s v="Ershad Nagar"/>
    <x v="0"/>
    <x v="0"/>
    <n v="5000"/>
  </r>
  <r>
    <n v="248"/>
    <s v="ACX248"/>
    <s v="Moriam Akter"/>
    <x v="2"/>
    <x v="0"/>
    <x v="2"/>
    <x v="1"/>
    <x v="25"/>
    <x v="25"/>
    <x v="1"/>
    <x v="0"/>
    <x v="0"/>
    <s v="Sign board"/>
    <x v="2"/>
    <x v="0"/>
    <n v="5000"/>
  </r>
  <r>
    <n v="249"/>
    <s v="ACX249"/>
    <s v="Md.Naiem Miah"/>
    <x v="3"/>
    <x v="0"/>
    <x v="2"/>
    <x v="1"/>
    <x v="25"/>
    <x v="25"/>
    <x v="0"/>
    <x v="0"/>
    <x v="5"/>
    <s v="Board Bazar"/>
    <x v="2"/>
    <x v="0"/>
    <n v="5000"/>
  </r>
  <r>
    <n v="250"/>
    <s v="ACX250"/>
    <s v="Sadhon Kumar Sarker"/>
    <x v="3"/>
    <x v="0"/>
    <x v="2"/>
    <x v="1"/>
    <x v="25"/>
    <x v="25"/>
    <x v="0"/>
    <x v="0"/>
    <x v="0"/>
    <s v="Board Bazar"/>
    <x v="2"/>
    <x v="0"/>
    <n v="5000"/>
  </r>
  <r>
    <n v="251"/>
    <s v="ACX251"/>
    <s v="Meghla Akter"/>
    <x v="3"/>
    <x v="0"/>
    <x v="2"/>
    <x v="1"/>
    <x v="26"/>
    <x v="26"/>
    <x v="1"/>
    <x v="0"/>
    <x v="1"/>
    <s v="Sign board"/>
    <x v="2"/>
    <x v="0"/>
    <n v="5000"/>
  </r>
  <r>
    <n v="252"/>
    <s v="ACX252"/>
    <s v="Naznin Nahar"/>
    <x v="3"/>
    <x v="0"/>
    <x v="2"/>
    <x v="1"/>
    <x v="26"/>
    <x v="26"/>
    <x v="1"/>
    <x v="1"/>
    <x v="3"/>
    <s v="Gazipura 27"/>
    <x v="0"/>
    <x v="0"/>
    <n v="5000"/>
  </r>
  <r>
    <n v="253"/>
    <s v="ACX253"/>
    <s v="Md. Roni Miah"/>
    <x v="2"/>
    <x v="0"/>
    <x v="2"/>
    <x v="1"/>
    <x v="26"/>
    <x v="26"/>
    <x v="0"/>
    <x v="0"/>
    <x v="1"/>
    <s v="Gazipura 27"/>
    <x v="0"/>
    <x v="0"/>
    <n v="5000"/>
  </r>
  <r>
    <n v="254"/>
    <s v="ACX254"/>
    <s v="Md. Sujon Mia"/>
    <x v="3"/>
    <x v="0"/>
    <x v="2"/>
    <x v="1"/>
    <x v="26"/>
    <x v="26"/>
    <x v="0"/>
    <x v="1"/>
    <x v="1"/>
    <s v="Gazipura 27"/>
    <x v="0"/>
    <x v="0"/>
    <n v="5000"/>
  </r>
  <r>
    <n v="255"/>
    <s v="ACX255"/>
    <s v="Md. Masum Mia"/>
    <x v="0"/>
    <x v="0"/>
    <x v="2"/>
    <x v="1"/>
    <x v="26"/>
    <x v="26"/>
    <x v="0"/>
    <x v="0"/>
    <x v="2"/>
    <s v="Gazipur Sadar"/>
    <x v="3"/>
    <x v="0"/>
    <n v="5000"/>
  </r>
  <r>
    <n v="256"/>
    <s v="ACX256"/>
    <s v="Mithun Paul"/>
    <x v="3"/>
    <x v="7"/>
    <x v="2"/>
    <x v="1"/>
    <x v="26"/>
    <x v="26"/>
    <x v="0"/>
    <x v="1"/>
    <x v="2"/>
    <s v="Gazipura 27"/>
    <x v="0"/>
    <x v="0"/>
    <n v="5000"/>
  </r>
  <r>
    <n v="257"/>
    <s v="ACX257"/>
    <s v="Mohammad Billal Hosen"/>
    <x v="5"/>
    <x v="7"/>
    <x v="2"/>
    <x v="1"/>
    <x v="26"/>
    <x v="26"/>
    <x v="0"/>
    <x v="0"/>
    <x v="2"/>
    <s v="Gazipura 27"/>
    <x v="0"/>
    <x v="0"/>
    <n v="5000"/>
  </r>
  <r>
    <n v="258"/>
    <s v="ACX258"/>
    <s v="Kaiyoum Sikder"/>
    <x v="3"/>
    <x v="0"/>
    <x v="2"/>
    <x v="1"/>
    <x v="26"/>
    <x v="26"/>
    <x v="0"/>
    <x v="0"/>
    <x v="2"/>
    <s v="Ershad Nagar"/>
    <x v="0"/>
    <x v="0"/>
    <n v="5000"/>
  </r>
  <r>
    <n v="259"/>
    <s v="ACX259"/>
    <s v="Md. Antor Ali"/>
    <x v="3"/>
    <x v="0"/>
    <x v="2"/>
    <x v="1"/>
    <x v="26"/>
    <x v="26"/>
    <x v="0"/>
    <x v="0"/>
    <x v="0"/>
    <s v="Gazipura 27"/>
    <x v="0"/>
    <x v="0"/>
    <n v="5000"/>
  </r>
  <r>
    <n v="260"/>
    <s v="ACX260"/>
    <s v="Md. Shakil Hossain"/>
    <x v="2"/>
    <x v="0"/>
    <x v="2"/>
    <x v="1"/>
    <x v="26"/>
    <x v="26"/>
    <x v="0"/>
    <x v="0"/>
    <x v="0"/>
    <s v="Gazipur Chowrasta"/>
    <x v="1"/>
    <x v="0"/>
    <n v="5000"/>
  </r>
  <r>
    <n v="261"/>
    <s v="ACX261"/>
    <s v="Md. Jehad Hossain"/>
    <x v="2"/>
    <x v="0"/>
    <x v="2"/>
    <x v="1"/>
    <x v="26"/>
    <x v="26"/>
    <x v="0"/>
    <x v="0"/>
    <x v="3"/>
    <s v="Gazipura 27"/>
    <x v="0"/>
    <x v="0"/>
    <n v="5000"/>
  </r>
  <r>
    <n v="262"/>
    <s v="ACX262"/>
    <s v="Iffatara Mitu"/>
    <x v="3"/>
    <x v="0"/>
    <x v="2"/>
    <x v="1"/>
    <x v="27"/>
    <x v="27"/>
    <x v="1"/>
    <x v="1"/>
    <x v="0"/>
    <s v="Board Bazar"/>
    <x v="2"/>
    <x v="0"/>
    <n v="27000"/>
  </r>
  <r>
    <n v="263"/>
    <s v="ACX263"/>
    <s v="Md. Oli Bahar"/>
    <x v="2"/>
    <x v="0"/>
    <x v="2"/>
    <x v="1"/>
    <x v="27"/>
    <x v="27"/>
    <x v="0"/>
    <x v="0"/>
    <x v="2"/>
    <s v="Gacha"/>
    <x v="2"/>
    <x v="0"/>
    <n v="27000"/>
  </r>
  <r>
    <n v="264"/>
    <s v="ACX264"/>
    <s v="Md. Yamin Hossain"/>
    <x v="5"/>
    <x v="0"/>
    <x v="2"/>
    <x v="1"/>
    <x v="27"/>
    <x v="27"/>
    <x v="0"/>
    <x v="0"/>
    <x v="0"/>
    <s v="Gazipura 27"/>
    <x v="0"/>
    <x v="0"/>
    <n v="27000"/>
  </r>
  <r>
    <n v="265"/>
    <s v="ACX265"/>
    <s v="Mamunur Rashid"/>
    <x v="3"/>
    <x v="0"/>
    <x v="2"/>
    <x v="1"/>
    <x v="27"/>
    <x v="27"/>
    <x v="0"/>
    <x v="0"/>
    <x v="1"/>
    <s v="Board Bazar"/>
    <x v="2"/>
    <x v="0"/>
    <n v="27000"/>
  </r>
  <r>
    <n v="266"/>
    <s v="ACX266"/>
    <s v="Nure Alam Siddiki"/>
    <x v="3"/>
    <x v="0"/>
    <x v="2"/>
    <x v="1"/>
    <x v="27"/>
    <x v="27"/>
    <x v="0"/>
    <x v="1"/>
    <x v="2"/>
    <s v="Sign board"/>
    <x v="2"/>
    <x v="0"/>
    <n v="27000"/>
  </r>
  <r>
    <n v="267"/>
    <s v="ACX267"/>
    <s v="Rana"/>
    <x v="6"/>
    <x v="0"/>
    <x v="2"/>
    <x v="1"/>
    <x v="28"/>
    <x v="28"/>
    <x v="0"/>
    <x v="0"/>
    <x v="0"/>
    <s v="Charagali"/>
    <x v="2"/>
    <x v="0"/>
    <n v="27000"/>
  </r>
  <r>
    <n v="268"/>
    <s v="ACX268"/>
    <s v="Choyon Kumar Shill"/>
    <x v="0"/>
    <x v="0"/>
    <x v="2"/>
    <x v="1"/>
    <x v="28"/>
    <x v="28"/>
    <x v="0"/>
    <x v="0"/>
    <x v="2"/>
    <s v="Gazipura 27"/>
    <x v="0"/>
    <x v="0"/>
    <n v="27000"/>
  </r>
  <r>
    <n v="269"/>
    <s v="ACX269"/>
    <s v="Farhaduzzaman"/>
    <x v="0"/>
    <x v="0"/>
    <x v="2"/>
    <x v="1"/>
    <x v="28"/>
    <x v="28"/>
    <x v="0"/>
    <x v="0"/>
    <x v="1"/>
    <s v="Gazipura 27"/>
    <x v="0"/>
    <x v="0"/>
    <n v="27000"/>
  </r>
  <r>
    <n v="270"/>
    <s v="ACX270"/>
    <s v="Shahriar Ahmed"/>
    <x v="2"/>
    <x v="6"/>
    <x v="2"/>
    <x v="1"/>
    <x v="28"/>
    <x v="28"/>
    <x v="0"/>
    <x v="0"/>
    <x v="1"/>
    <s v="Gazipura 27"/>
    <x v="0"/>
    <x v="0"/>
    <n v="27000"/>
  </r>
  <r>
    <n v="271"/>
    <s v="ACX271"/>
    <s v="Md. Tarikul Islam Raju"/>
    <x v="3"/>
    <x v="0"/>
    <x v="2"/>
    <x v="1"/>
    <x v="28"/>
    <x v="28"/>
    <x v="0"/>
    <x v="0"/>
    <x v="0"/>
    <s v="Gazipura 27"/>
    <x v="0"/>
    <x v="0"/>
    <n v="27000"/>
  </r>
  <r>
    <n v="272"/>
    <s v="ACX272"/>
    <s v="Rakibul Islam"/>
    <x v="2"/>
    <x v="7"/>
    <x v="2"/>
    <x v="1"/>
    <x v="28"/>
    <x v="28"/>
    <x v="0"/>
    <x v="0"/>
    <x v="2"/>
    <s v="Gazipura 27"/>
    <x v="0"/>
    <x v="0"/>
    <n v="27000"/>
  </r>
  <r>
    <n v="273"/>
    <s v="ACX273"/>
    <s v="Dipali Akter"/>
    <x v="2"/>
    <x v="0"/>
    <x v="2"/>
    <x v="1"/>
    <x v="28"/>
    <x v="28"/>
    <x v="1"/>
    <x v="0"/>
    <x v="0"/>
    <s v="Gazipura 27"/>
    <x v="0"/>
    <x v="0"/>
    <n v="27000"/>
  </r>
  <r>
    <n v="274"/>
    <s v="ACX274"/>
    <s v="Monalisa Akter"/>
    <x v="0"/>
    <x v="0"/>
    <x v="2"/>
    <x v="1"/>
    <x v="28"/>
    <x v="28"/>
    <x v="1"/>
    <x v="0"/>
    <x v="0"/>
    <s v="Gazipura 27"/>
    <x v="0"/>
    <x v="0"/>
    <n v="27000"/>
  </r>
  <r>
    <n v="275"/>
    <s v="ACX275"/>
    <s v="Amena Akter"/>
    <x v="3"/>
    <x v="0"/>
    <x v="2"/>
    <x v="1"/>
    <x v="28"/>
    <x v="28"/>
    <x v="1"/>
    <x v="0"/>
    <x v="0"/>
    <s v="Gazipura 27"/>
    <x v="0"/>
    <x v="0"/>
    <n v="27000"/>
  </r>
  <r>
    <n v="276"/>
    <s v="ACX276"/>
    <s v="Jannatul Fedous Rumi"/>
    <x v="3"/>
    <x v="0"/>
    <x v="2"/>
    <x v="1"/>
    <x v="28"/>
    <x v="28"/>
    <x v="1"/>
    <x v="0"/>
    <x v="2"/>
    <s v="Gazipura 27"/>
    <x v="0"/>
    <x v="0"/>
    <n v="27000"/>
  </r>
  <r>
    <n v="277"/>
    <s v="ACX277"/>
    <s v="Parama Biswas"/>
    <x v="2"/>
    <x v="0"/>
    <x v="2"/>
    <x v="1"/>
    <x v="28"/>
    <x v="28"/>
    <x v="1"/>
    <x v="0"/>
    <x v="1"/>
    <s v="Gazipura 27"/>
    <x v="0"/>
    <x v="0"/>
    <n v="27000"/>
  </r>
  <r>
    <n v="278"/>
    <s v="ACX278"/>
    <s v="Mst. Ummey Habiba"/>
    <x v="2"/>
    <x v="0"/>
    <x v="2"/>
    <x v="1"/>
    <x v="28"/>
    <x v="28"/>
    <x v="1"/>
    <x v="0"/>
    <x v="0"/>
    <s v="Gazipura 27"/>
    <x v="0"/>
    <x v="0"/>
    <n v="27000"/>
  </r>
  <r>
    <n v="279"/>
    <s v="ACX279"/>
    <s v="Bithe Akter"/>
    <x v="1"/>
    <x v="0"/>
    <x v="2"/>
    <x v="1"/>
    <x v="28"/>
    <x v="28"/>
    <x v="1"/>
    <x v="0"/>
    <x v="6"/>
    <s v="Gazipura 27"/>
    <x v="0"/>
    <x v="0"/>
    <n v="27000"/>
  </r>
  <r>
    <n v="280"/>
    <s v="ACX280"/>
    <s v="Md. Shohag Shaikh"/>
    <x v="2"/>
    <x v="0"/>
    <x v="2"/>
    <x v="1"/>
    <x v="28"/>
    <x v="28"/>
    <x v="0"/>
    <x v="0"/>
    <x v="2"/>
    <s v="Gazipura 27"/>
    <x v="0"/>
    <x v="0"/>
    <n v="27000"/>
  </r>
  <r>
    <n v="281"/>
    <s v="ACX281"/>
    <s v="Muni Akter"/>
    <x v="3"/>
    <x v="7"/>
    <x v="2"/>
    <x v="1"/>
    <x v="28"/>
    <x v="28"/>
    <x v="1"/>
    <x v="0"/>
    <x v="2"/>
    <s v="Gazipura 27"/>
    <x v="0"/>
    <x v="0"/>
    <n v="27000"/>
  </r>
  <r>
    <n v="282"/>
    <s v="ACX282"/>
    <s v="Md. Nazmul Hossain"/>
    <x v="3"/>
    <x v="0"/>
    <x v="2"/>
    <x v="1"/>
    <x v="28"/>
    <x v="28"/>
    <x v="0"/>
    <x v="0"/>
    <x v="1"/>
    <s v="Board Bazar"/>
    <x v="2"/>
    <x v="0"/>
    <n v="27000"/>
  </r>
  <r>
    <n v="283"/>
    <s v="ACX283"/>
    <s v="Md. Mahfuzur Rahman"/>
    <x v="2"/>
    <x v="0"/>
    <x v="2"/>
    <x v="1"/>
    <x v="28"/>
    <x v="28"/>
    <x v="0"/>
    <x v="0"/>
    <x v="0"/>
    <s v="Board Bazar"/>
    <x v="2"/>
    <x v="0"/>
    <n v="27000"/>
  </r>
  <r>
    <n v="284"/>
    <s v="ACX284"/>
    <s v="Md. Abdul Momin"/>
    <x v="5"/>
    <x v="0"/>
    <x v="2"/>
    <x v="1"/>
    <x v="29"/>
    <x v="29"/>
    <x v="0"/>
    <x v="0"/>
    <x v="7"/>
    <s v="Gazipura 27"/>
    <x v="0"/>
    <x v="0"/>
    <n v="27000"/>
  </r>
  <r>
    <n v="285"/>
    <s v="ACX285"/>
    <s v="Md. Imam Hossain Siam"/>
    <x v="0"/>
    <x v="0"/>
    <x v="2"/>
    <x v="1"/>
    <x v="29"/>
    <x v="29"/>
    <x v="0"/>
    <x v="0"/>
    <x v="5"/>
    <s v="Boro Bari"/>
    <x v="2"/>
    <x v="0"/>
    <n v="27000"/>
  </r>
  <r>
    <n v="286"/>
    <s v="ACX286"/>
    <s v="Rita Akter"/>
    <x v="0"/>
    <x v="0"/>
    <x v="2"/>
    <x v="1"/>
    <x v="29"/>
    <x v="29"/>
    <x v="1"/>
    <x v="0"/>
    <x v="2"/>
    <s v="Ershad Nagar"/>
    <x v="0"/>
    <x v="0"/>
    <n v="27000"/>
  </r>
  <r>
    <n v="287"/>
    <s v="ACX287"/>
    <s v="Tanjina Akter Mukta"/>
    <x v="2"/>
    <x v="0"/>
    <x v="2"/>
    <x v="1"/>
    <x v="30"/>
    <x v="30"/>
    <x v="1"/>
    <x v="0"/>
    <x v="1"/>
    <s v="Boro Bari"/>
    <x v="2"/>
    <x v="0"/>
    <n v="30000"/>
  </r>
  <r>
    <n v="288"/>
    <s v="ACX288"/>
    <s v="Mahadi Hasan"/>
    <x v="0"/>
    <x v="0"/>
    <x v="2"/>
    <x v="1"/>
    <x v="30"/>
    <x v="30"/>
    <x v="0"/>
    <x v="0"/>
    <x v="3"/>
    <s v="Board Bazar"/>
    <x v="2"/>
    <x v="0"/>
    <n v="30000"/>
  </r>
  <r>
    <n v="289"/>
    <s v="ACX289"/>
    <s v="Md. Sohag"/>
    <x v="3"/>
    <x v="0"/>
    <x v="2"/>
    <x v="1"/>
    <x v="30"/>
    <x v="30"/>
    <x v="0"/>
    <x v="0"/>
    <x v="3"/>
    <s v="Gazipura 27"/>
    <x v="0"/>
    <x v="0"/>
    <n v="30000"/>
  </r>
  <r>
    <n v="290"/>
    <s v="ACX290"/>
    <s v="Md. Mahafuj Ali"/>
    <x v="2"/>
    <x v="0"/>
    <x v="2"/>
    <x v="1"/>
    <x v="31"/>
    <x v="31"/>
    <x v="0"/>
    <x v="0"/>
    <x v="5"/>
    <s v="Board Bazar"/>
    <x v="2"/>
    <x v="0"/>
    <n v="30000"/>
  </r>
  <r>
    <n v="291"/>
    <s v="ACX291"/>
    <s v="Rezaul Islam Sajib"/>
    <x v="0"/>
    <x v="0"/>
    <x v="2"/>
    <x v="1"/>
    <x v="31"/>
    <x v="31"/>
    <x v="0"/>
    <x v="0"/>
    <x v="2"/>
    <s v="Khilkhet"/>
    <x v="3"/>
    <x v="0"/>
    <n v="30000"/>
  </r>
  <r>
    <n v="292"/>
    <s v="ACX292"/>
    <s v="Rezuan Ullah"/>
    <x v="0"/>
    <x v="0"/>
    <x v="2"/>
    <x v="1"/>
    <x v="31"/>
    <x v="31"/>
    <x v="0"/>
    <x v="0"/>
    <x v="0"/>
    <s v="Gazipura 27"/>
    <x v="0"/>
    <x v="0"/>
    <n v="30000"/>
  </r>
  <r>
    <n v="293"/>
    <s v="ACX293"/>
    <s v="Pobitra Chandra"/>
    <x v="2"/>
    <x v="0"/>
    <x v="2"/>
    <x v="1"/>
    <x v="31"/>
    <x v="31"/>
    <x v="0"/>
    <x v="0"/>
    <x v="2"/>
    <s v="Gazipura 27"/>
    <x v="0"/>
    <x v="0"/>
    <n v="30000"/>
  </r>
  <r>
    <n v="294"/>
    <s v="ACX294"/>
    <s v="Mostafizur Rahman"/>
    <x v="2"/>
    <x v="0"/>
    <x v="2"/>
    <x v="1"/>
    <x v="31"/>
    <x v="31"/>
    <x v="0"/>
    <x v="1"/>
    <x v="3"/>
    <s v="Gazipura 27"/>
    <x v="0"/>
    <x v="0"/>
    <n v="30000"/>
  </r>
  <r>
    <n v="295"/>
    <s v="ACX295"/>
    <s v="Joy Chondro Dus"/>
    <x v="0"/>
    <x v="0"/>
    <x v="2"/>
    <x v="1"/>
    <x v="31"/>
    <x v="31"/>
    <x v="0"/>
    <x v="0"/>
    <x v="5"/>
    <s v="Gazipura 27"/>
    <x v="0"/>
    <x v="0"/>
    <n v="30000"/>
  </r>
  <r>
    <n v="296"/>
    <s v="ACX296"/>
    <s v="Rakibul Islam"/>
    <x v="3"/>
    <x v="0"/>
    <x v="2"/>
    <x v="1"/>
    <x v="31"/>
    <x v="31"/>
    <x v="0"/>
    <x v="0"/>
    <x v="2"/>
    <s v="Vogra Baypass"/>
    <x v="1"/>
    <x v="0"/>
    <n v="30000"/>
  </r>
  <r>
    <n v="297"/>
    <s v="ACX297"/>
    <s v="Hosneara"/>
    <x v="2"/>
    <x v="0"/>
    <x v="2"/>
    <x v="1"/>
    <x v="31"/>
    <x v="31"/>
    <x v="1"/>
    <x v="0"/>
    <x v="0"/>
    <s v="Gacha"/>
    <x v="2"/>
    <x v="0"/>
    <n v="30000"/>
  </r>
  <r>
    <n v="298"/>
    <s v="ACX298"/>
    <s v="Easha Moni"/>
    <x v="2"/>
    <x v="0"/>
    <x v="2"/>
    <x v="1"/>
    <x v="31"/>
    <x v="31"/>
    <x v="1"/>
    <x v="1"/>
    <x v="2"/>
    <s v="Gazipura 27"/>
    <x v="0"/>
    <x v="0"/>
    <n v="30000"/>
  </r>
  <r>
    <n v="299"/>
    <s v="ACX299"/>
    <s v="Riad Talukdar"/>
    <x v="2"/>
    <x v="0"/>
    <x v="2"/>
    <x v="1"/>
    <x v="31"/>
    <x v="31"/>
    <x v="0"/>
    <x v="1"/>
    <x v="2"/>
    <s v="Gazipura 27"/>
    <x v="0"/>
    <x v="0"/>
    <n v="30000"/>
  </r>
  <r>
    <n v="300"/>
    <s v="ACX300"/>
    <s v="Mujahidul Islam"/>
    <x v="3"/>
    <x v="0"/>
    <x v="2"/>
    <x v="1"/>
    <x v="31"/>
    <x v="31"/>
    <x v="0"/>
    <x v="0"/>
    <x v="1"/>
    <s v="Gazipura 27"/>
    <x v="0"/>
    <x v="0"/>
    <n v="30000"/>
  </r>
  <r>
    <n v="301"/>
    <s v="ACX301"/>
    <s v="Mohon"/>
    <x v="2"/>
    <x v="8"/>
    <x v="2"/>
    <x v="1"/>
    <x v="31"/>
    <x v="31"/>
    <x v="0"/>
    <x v="0"/>
    <x v="1"/>
    <s v="Gazipura 27"/>
    <x v="0"/>
    <x v="0"/>
    <n v="30000"/>
  </r>
  <r>
    <n v="302"/>
    <s v="ACX302"/>
    <s v="Md. Sujon  Ali Shekh"/>
    <x v="2"/>
    <x v="8"/>
    <x v="2"/>
    <x v="1"/>
    <x v="31"/>
    <x v="31"/>
    <x v="0"/>
    <x v="0"/>
    <x v="1"/>
    <s v="Gazipura 27"/>
    <x v="0"/>
    <x v="0"/>
    <n v="30000"/>
  </r>
  <r>
    <n v="303"/>
    <s v="ACX303"/>
    <s v="Md. Al Rafi"/>
    <x v="3"/>
    <x v="0"/>
    <x v="2"/>
    <x v="1"/>
    <x v="32"/>
    <x v="32"/>
    <x v="0"/>
    <x v="0"/>
    <x v="7"/>
    <s v="Boro Bari "/>
    <x v="2"/>
    <x v="0"/>
    <n v="30000"/>
  </r>
  <r>
    <n v="304"/>
    <s v="ACX304"/>
    <s v="Sakib Ahmed Nobi"/>
    <x v="3"/>
    <x v="0"/>
    <x v="2"/>
    <x v="1"/>
    <x v="32"/>
    <x v="32"/>
    <x v="0"/>
    <x v="0"/>
    <x v="0"/>
    <s v="Board Bazar"/>
    <x v="2"/>
    <x v="0"/>
    <n v="30000"/>
  </r>
  <r>
    <n v="305"/>
    <s v="ACX305"/>
    <s v="Md. Zamil Hossen"/>
    <x v="2"/>
    <x v="0"/>
    <x v="2"/>
    <x v="1"/>
    <x v="32"/>
    <x v="32"/>
    <x v="0"/>
    <x v="0"/>
    <x v="2"/>
    <s v="Gazipura 27"/>
    <x v="0"/>
    <x v="0"/>
    <n v="30000"/>
  </r>
  <r>
    <n v="306"/>
    <s v="ACX306"/>
    <s v="Jannatul Fardaus"/>
    <x v="3"/>
    <x v="0"/>
    <x v="2"/>
    <x v="1"/>
    <x v="33"/>
    <x v="33"/>
    <x v="1"/>
    <x v="0"/>
    <x v="2"/>
    <s v="Bason"/>
    <x v="5"/>
    <x v="0"/>
    <n v="30000"/>
  </r>
  <r>
    <n v="307"/>
    <s v="ACX307"/>
    <s v="Roxi Akter Bristi"/>
    <x v="3"/>
    <x v="0"/>
    <x v="2"/>
    <x v="1"/>
    <x v="33"/>
    <x v="33"/>
    <x v="1"/>
    <x v="0"/>
    <x v="1"/>
    <s v="Gazipura 27"/>
    <x v="0"/>
    <x v="0"/>
    <n v="30000"/>
  </r>
  <r>
    <n v="308"/>
    <s v="ACX308"/>
    <s v="Zahid Hasan"/>
    <x v="2"/>
    <x v="0"/>
    <x v="2"/>
    <x v="1"/>
    <x v="34"/>
    <x v="34"/>
    <x v="0"/>
    <x v="0"/>
    <x v="0"/>
    <s v="Board Bazar"/>
    <x v="2"/>
    <x v="0"/>
    <n v="30000"/>
  </r>
  <r>
    <n v="309"/>
    <s v="ACX309"/>
    <s v="Md. Emon Hossain"/>
    <x v="0"/>
    <x v="0"/>
    <x v="2"/>
    <x v="1"/>
    <x v="34"/>
    <x v="34"/>
    <x v="0"/>
    <x v="0"/>
    <x v="0"/>
    <s v="Board Bazar"/>
    <x v="2"/>
    <x v="0"/>
    <n v="30000"/>
  </r>
  <r>
    <n v="310"/>
    <s v="ACX310"/>
    <s v="Nadiya Akter Setu"/>
    <x v="0"/>
    <x v="0"/>
    <x v="2"/>
    <x v="1"/>
    <x v="34"/>
    <x v="34"/>
    <x v="1"/>
    <x v="1"/>
    <x v="0"/>
    <s v="Boro Bari"/>
    <x v="2"/>
    <x v="0"/>
    <n v="30000"/>
  </r>
  <r>
    <n v="311"/>
    <s v="ACX311"/>
    <s v="Mst. Ayesha Begum"/>
    <x v="2"/>
    <x v="0"/>
    <x v="2"/>
    <x v="1"/>
    <x v="34"/>
    <x v="34"/>
    <x v="1"/>
    <x v="0"/>
    <x v="1"/>
    <s v="Gazipura 27"/>
    <x v="0"/>
    <x v="0"/>
    <n v="6000"/>
  </r>
  <r>
    <n v="312"/>
    <s v="ACX312"/>
    <s v="Md. Saiful Islam"/>
    <x v="2"/>
    <x v="2"/>
    <x v="1"/>
    <x v="1"/>
    <x v="35"/>
    <x v="35"/>
    <x v="0"/>
    <x v="0"/>
    <x v="1"/>
    <s v="Gazipur Sadar"/>
    <x v="3"/>
    <x v="0"/>
    <n v="6000"/>
  </r>
  <r>
    <n v="313"/>
    <s v="ACX313"/>
    <s v="Shahin Alam"/>
    <x v="3"/>
    <x v="0"/>
    <x v="2"/>
    <x v="1"/>
    <x v="34"/>
    <x v="34"/>
    <x v="0"/>
    <x v="0"/>
    <x v="5"/>
    <s v="Gazipura 27"/>
    <x v="0"/>
    <x v="0"/>
    <n v="6000"/>
  </r>
  <r>
    <n v="314"/>
    <s v="ACX314"/>
    <s v="Asif Hasan Jisan"/>
    <x v="3"/>
    <x v="0"/>
    <x v="2"/>
    <x v="1"/>
    <x v="34"/>
    <x v="34"/>
    <x v="0"/>
    <x v="0"/>
    <x v="0"/>
    <s v="Ershad Nagar"/>
    <x v="0"/>
    <x v="0"/>
    <n v="6000"/>
  </r>
  <r>
    <n v="315"/>
    <s v="ACX315"/>
    <s v="Md. Jahidul Islam"/>
    <x v="3"/>
    <x v="0"/>
    <x v="2"/>
    <x v="1"/>
    <x v="36"/>
    <x v="36"/>
    <x v="0"/>
    <x v="0"/>
    <x v="5"/>
    <s v="Hossen Market"/>
    <x v="0"/>
    <x v="0"/>
    <n v="6000"/>
  </r>
  <r>
    <n v="316"/>
    <s v="ACX316"/>
    <s v="Mst. Sammi Akter"/>
    <x v="2"/>
    <x v="0"/>
    <x v="2"/>
    <x v="1"/>
    <x v="36"/>
    <x v="36"/>
    <x v="1"/>
    <x v="0"/>
    <x v="5"/>
    <s v="Gacha"/>
    <x v="2"/>
    <x v="0"/>
    <n v="6000"/>
  </r>
  <r>
    <n v="317"/>
    <s v="ACX317"/>
    <s v="Banna Akter"/>
    <x v="5"/>
    <x v="0"/>
    <x v="2"/>
    <x v="1"/>
    <x v="36"/>
    <x v="36"/>
    <x v="1"/>
    <x v="1"/>
    <x v="2"/>
    <s v="Ershad Nagar"/>
    <x v="0"/>
    <x v="0"/>
    <n v="6000"/>
  </r>
  <r>
    <n v="318"/>
    <s v="ACX318"/>
    <s v="Afrin Akter Akhi"/>
    <x v="0"/>
    <x v="0"/>
    <x v="2"/>
    <x v="1"/>
    <x v="36"/>
    <x v="36"/>
    <x v="1"/>
    <x v="0"/>
    <x v="2"/>
    <s v="Ershad Nagar"/>
    <x v="0"/>
    <x v="0"/>
    <n v="6000"/>
  </r>
  <r>
    <n v="319"/>
    <s v="ACX319"/>
    <s v="Liza Akter Laboni"/>
    <x v="3"/>
    <x v="0"/>
    <x v="2"/>
    <x v="1"/>
    <x v="36"/>
    <x v="36"/>
    <x v="1"/>
    <x v="0"/>
    <x v="5"/>
    <s v="Ershad Nagar"/>
    <x v="0"/>
    <x v="0"/>
    <n v="6000"/>
  </r>
  <r>
    <n v="320"/>
    <s v="ACX320"/>
    <s v="Md. Nadim Hossain Choyon"/>
    <x v="0"/>
    <x v="0"/>
    <x v="2"/>
    <x v="1"/>
    <x v="37"/>
    <x v="37"/>
    <x v="0"/>
    <x v="0"/>
    <x v="0"/>
    <s v="Gacha"/>
    <x v="2"/>
    <x v="0"/>
    <n v="6000"/>
  </r>
  <r>
    <n v="321"/>
    <s v="ACX321"/>
    <s v="Khadeja Akter Anika"/>
    <x v="0"/>
    <x v="0"/>
    <x v="2"/>
    <x v="1"/>
    <x v="37"/>
    <x v="37"/>
    <x v="1"/>
    <x v="0"/>
    <x v="0"/>
    <s v="Gacha"/>
    <x v="2"/>
    <x v="0"/>
    <n v="6000"/>
  </r>
  <r>
    <n v="322"/>
    <s v="ACX322"/>
    <s v="Jerin"/>
    <x v="3"/>
    <x v="0"/>
    <x v="2"/>
    <x v="1"/>
    <x v="37"/>
    <x v="37"/>
    <x v="1"/>
    <x v="0"/>
    <x v="5"/>
    <s v="Azimpur Dhaka"/>
    <x v="4"/>
    <x v="0"/>
    <n v="6000"/>
  </r>
  <r>
    <n v="323"/>
    <s v="ACX323"/>
    <s v="Md. Alamin"/>
    <x v="2"/>
    <x v="0"/>
    <x v="2"/>
    <x v="1"/>
    <x v="37"/>
    <x v="37"/>
    <x v="0"/>
    <x v="0"/>
    <x v="0"/>
    <s v="Board Bazar"/>
    <x v="2"/>
    <x v="0"/>
    <n v="6000"/>
  </r>
  <r>
    <n v="324"/>
    <s v="ACX324"/>
    <s v="Md. Raju Mia"/>
    <x v="2"/>
    <x v="0"/>
    <x v="2"/>
    <x v="1"/>
    <x v="37"/>
    <x v="37"/>
    <x v="0"/>
    <x v="0"/>
    <x v="2"/>
    <s v="Board Bazar"/>
    <x v="2"/>
    <x v="0"/>
    <n v="6000"/>
  </r>
  <r>
    <n v="325"/>
    <s v="ACX325"/>
    <s v="Mukta Moni"/>
    <x v="2"/>
    <x v="0"/>
    <x v="2"/>
    <x v="1"/>
    <x v="37"/>
    <x v="37"/>
    <x v="1"/>
    <x v="0"/>
    <x v="5"/>
    <s v="Ershad Nagar"/>
    <x v="0"/>
    <x v="0"/>
    <n v="6000"/>
  </r>
  <r>
    <n v="326"/>
    <s v="ACX326"/>
    <s v="Azizul Hakim"/>
    <x v="2"/>
    <x v="0"/>
    <x v="2"/>
    <x v="1"/>
    <x v="37"/>
    <x v="37"/>
    <x v="0"/>
    <x v="0"/>
    <x v="2"/>
    <s v="Kunia"/>
    <x v="2"/>
    <x v="0"/>
    <n v="6000"/>
  </r>
  <r>
    <n v="327"/>
    <s v="ACX327"/>
    <s v="Khairul Islam Sagor"/>
    <x v="3"/>
    <x v="0"/>
    <x v="2"/>
    <x v="1"/>
    <x v="37"/>
    <x v="37"/>
    <x v="0"/>
    <x v="0"/>
    <x v="2"/>
    <s v="Gazipura 27"/>
    <x v="0"/>
    <x v="0"/>
    <n v="6000"/>
  </r>
  <r>
    <n v="328"/>
    <s v="ACX328"/>
    <s v="Atikur Rahman"/>
    <x v="3"/>
    <x v="0"/>
    <x v="2"/>
    <x v="1"/>
    <x v="37"/>
    <x v="37"/>
    <x v="0"/>
    <x v="0"/>
    <x v="0"/>
    <s v="Gazipura 27"/>
    <x v="0"/>
    <x v="0"/>
    <n v="6000"/>
  </r>
  <r>
    <n v="329"/>
    <s v="ACX329"/>
    <s v="Md. Masud Rana"/>
    <x v="3"/>
    <x v="0"/>
    <x v="2"/>
    <x v="1"/>
    <x v="37"/>
    <x v="37"/>
    <x v="0"/>
    <x v="0"/>
    <x v="0"/>
    <s v="Gazipura 27"/>
    <x v="0"/>
    <x v="0"/>
    <n v="6000"/>
  </r>
  <r>
    <n v="330"/>
    <s v="ACX330"/>
    <s v="Rima Akter"/>
    <x v="2"/>
    <x v="0"/>
    <x v="2"/>
    <x v="1"/>
    <x v="37"/>
    <x v="37"/>
    <x v="1"/>
    <x v="0"/>
    <x v="5"/>
    <s v="Gazipura 27"/>
    <x v="0"/>
    <x v="0"/>
    <n v="6000"/>
  </r>
  <r>
    <n v="331"/>
    <s v="ACX331"/>
    <s v="Nazmul Islam"/>
    <x v="5"/>
    <x v="2"/>
    <x v="1"/>
    <x v="1"/>
    <x v="38"/>
    <x v="38"/>
    <x v="0"/>
    <x v="1"/>
    <x v="3"/>
    <s v="Gazipura 27"/>
    <x v="0"/>
    <x v="0"/>
    <n v="6000"/>
  </r>
  <r>
    <n v="332"/>
    <s v="ACX332"/>
    <s v="Hridoy Hossain Khan"/>
    <x v="0"/>
    <x v="0"/>
    <x v="2"/>
    <x v="1"/>
    <x v="38"/>
    <x v="38"/>
    <x v="0"/>
    <x v="0"/>
    <x v="0"/>
    <s v="Vogra Baypass"/>
    <x v="1"/>
    <x v="0"/>
    <n v="6000"/>
  </r>
  <r>
    <n v="333"/>
    <s v="ACX333"/>
    <s v="Saboj Mia"/>
    <x v="3"/>
    <x v="0"/>
    <x v="2"/>
    <x v="1"/>
    <x v="38"/>
    <x v="38"/>
    <x v="0"/>
    <x v="0"/>
    <x v="0"/>
    <s v="Gazipura 27"/>
    <x v="0"/>
    <x v="0"/>
    <n v="6000"/>
  </r>
  <r>
    <n v="334"/>
    <s v="ACX334"/>
    <s v="Fatama Iti"/>
    <x v="0"/>
    <x v="0"/>
    <x v="2"/>
    <x v="1"/>
    <x v="38"/>
    <x v="38"/>
    <x v="1"/>
    <x v="1"/>
    <x v="2"/>
    <s v="Gazipura 27"/>
    <x v="0"/>
    <x v="0"/>
    <n v="6000"/>
  </r>
  <r>
    <n v="335"/>
    <s v="ACX335"/>
    <s v="Rimu Akter"/>
    <x v="2"/>
    <x v="0"/>
    <x v="2"/>
    <x v="1"/>
    <x v="38"/>
    <x v="38"/>
    <x v="1"/>
    <x v="0"/>
    <x v="0"/>
    <s v="Vogra Baypass"/>
    <x v="1"/>
    <x v="0"/>
    <n v="6000"/>
  </r>
  <r>
    <n v="336"/>
    <s v="ACX336"/>
    <s v="Dolon Akter Prova"/>
    <x v="2"/>
    <x v="0"/>
    <x v="2"/>
    <x v="1"/>
    <x v="38"/>
    <x v="38"/>
    <x v="1"/>
    <x v="0"/>
    <x v="1"/>
    <s v="Gacha"/>
    <x v="2"/>
    <x v="0"/>
    <n v="6000"/>
  </r>
  <r>
    <n v="337"/>
    <s v="ACX337"/>
    <s v="Sabiha Sultana Masuma"/>
    <x v="2"/>
    <x v="0"/>
    <x v="2"/>
    <x v="1"/>
    <x v="39"/>
    <x v="39"/>
    <x v="1"/>
    <x v="0"/>
    <x v="0"/>
    <s v="Gazipura 27"/>
    <x v="0"/>
    <x v="0"/>
    <n v="6000"/>
  </r>
  <r>
    <n v="338"/>
    <s v="ACX338"/>
    <s v="Md. Azizul Islam"/>
    <x v="2"/>
    <x v="0"/>
    <x v="2"/>
    <x v="1"/>
    <x v="39"/>
    <x v="39"/>
    <x v="0"/>
    <x v="0"/>
    <x v="1"/>
    <s v="Gazipura 27"/>
    <x v="0"/>
    <x v="0"/>
    <n v="6000"/>
  </r>
  <r>
    <n v="339"/>
    <s v="ACX339"/>
    <s v="Ebrahim Miah"/>
    <x v="5"/>
    <x v="6"/>
    <x v="2"/>
    <x v="1"/>
    <x v="39"/>
    <x v="39"/>
    <x v="0"/>
    <x v="0"/>
    <x v="2"/>
    <s v="Gazipura 27"/>
    <x v="0"/>
    <x v="0"/>
    <n v="6000"/>
  </r>
  <r>
    <n v="340"/>
    <s v="ACX340"/>
    <s v="Md. Mirajul Islam"/>
    <x v="3"/>
    <x v="0"/>
    <x v="2"/>
    <x v="1"/>
    <x v="39"/>
    <x v="39"/>
    <x v="0"/>
    <x v="0"/>
    <x v="1"/>
    <s v="Gazipura 27"/>
    <x v="0"/>
    <x v="0"/>
    <n v="6000"/>
  </r>
  <r>
    <n v="341"/>
    <s v="ACX341"/>
    <s v="Rabaya Sultana"/>
    <x v="0"/>
    <x v="0"/>
    <x v="2"/>
    <x v="1"/>
    <x v="40"/>
    <x v="40"/>
    <x v="1"/>
    <x v="0"/>
    <x v="0"/>
    <s v="Gazipura 27"/>
    <x v="0"/>
    <x v="0"/>
    <n v="6000"/>
  </r>
  <r>
    <n v="342"/>
    <s v="ACX342"/>
    <s v="Sagar Modak"/>
    <x v="0"/>
    <x v="0"/>
    <x v="2"/>
    <x v="1"/>
    <x v="40"/>
    <x v="40"/>
    <x v="0"/>
    <x v="0"/>
    <x v="1"/>
    <s v="Gazipura 27"/>
    <x v="0"/>
    <x v="0"/>
    <n v="6000"/>
  </r>
  <r>
    <n v="343"/>
    <s v="ACX343"/>
    <s v="Sudip Modak"/>
    <x v="5"/>
    <x v="0"/>
    <x v="2"/>
    <x v="1"/>
    <x v="40"/>
    <x v="40"/>
    <x v="0"/>
    <x v="0"/>
    <x v="2"/>
    <s v="Gazipura 27"/>
    <x v="0"/>
    <x v="0"/>
    <n v="6000"/>
  </r>
  <r>
    <n v="344"/>
    <s v="ACX344"/>
    <s v="Neloy Kumar"/>
    <x v="3"/>
    <x v="0"/>
    <x v="2"/>
    <x v="1"/>
    <x v="40"/>
    <x v="40"/>
    <x v="0"/>
    <x v="0"/>
    <x v="0"/>
    <s v="Gazipura 27"/>
    <x v="0"/>
    <x v="0"/>
    <n v="6000"/>
  </r>
  <r>
    <n v="345"/>
    <s v="ACX345"/>
    <s v="Md. Omar Faruk"/>
    <x v="2"/>
    <x v="0"/>
    <x v="2"/>
    <x v="1"/>
    <x v="40"/>
    <x v="40"/>
    <x v="0"/>
    <x v="0"/>
    <x v="2"/>
    <s v="Gacha"/>
    <x v="2"/>
    <x v="0"/>
    <n v="6000"/>
  </r>
  <r>
    <n v="346"/>
    <s v="ACX346"/>
    <s v="Md. Tarmin Hosen Rana"/>
    <x v="3"/>
    <x v="0"/>
    <x v="2"/>
    <x v="1"/>
    <x v="40"/>
    <x v="40"/>
    <x v="0"/>
    <x v="0"/>
    <x v="2"/>
    <s v="Hossen Market"/>
    <x v="0"/>
    <x v="0"/>
    <n v="6000"/>
  </r>
  <r>
    <n v="347"/>
    <s v="ACX347"/>
    <s v="Md. Sobuz Ahmed Shuvo"/>
    <x v="2"/>
    <x v="0"/>
    <x v="2"/>
    <x v="1"/>
    <x v="40"/>
    <x v="40"/>
    <x v="0"/>
    <x v="0"/>
    <x v="2"/>
    <s v="Bason"/>
    <x v="5"/>
    <x v="0"/>
    <n v="6000"/>
  </r>
  <r>
    <n v="348"/>
    <s v="ACX348"/>
    <s v="Suvha Chandra Sarker"/>
    <x v="2"/>
    <x v="0"/>
    <x v="2"/>
    <x v="1"/>
    <x v="41"/>
    <x v="41"/>
    <x v="0"/>
    <x v="0"/>
    <x v="0"/>
    <s v="Gazipur Sadar"/>
    <x v="3"/>
    <x v="0"/>
    <n v="6000"/>
  </r>
  <r>
    <n v="349"/>
    <s v="ACX349"/>
    <s v="Sima Roy"/>
    <x v="2"/>
    <x v="0"/>
    <x v="2"/>
    <x v="1"/>
    <x v="42"/>
    <x v="42"/>
    <x v="1"/>
    <x v="1"/>
    <x v="0"/>
    <s v="Gazipura 27"/>
    <x v="0"/>
    <x v="0"/>
    <n v="6000"/>
  </r>
  <r>
    <n v="350"/>
    <s v="ACX350"/>
    <s v="Rabeya Akter Tanjila"/>
    <x v="2"/>
    <x v="0"/>
    <x v="2"/>
    <x v="1"/>
    <x v="43"/>
    <x v="43"/>
    <x v="1"/>
    <x v="0"/>
    <x v="3"/>
    <s v="Ershad Nagar"/>
    <x v="0"/>
    <x v="0"/>
    <n v="6000"/>
  </r>
  <r>
    <n v="351"/>
    <s v="ACX351"/>
    <s v="Md. Shanto Mia"/>
    <x v="5"/>
    <x v="0"/>
    <x v="2"/>
    <x v="1"/>
    <x v="43"/>
    <x v="43"/>
    <x v="0"/>
    <x v="0"/>
    <x v="0"/>
    <s v="Gazipura 27"/>
    <x v="0"/>
    <x v="0"/>
    <n v="6000"/>
  </r>
  <r>
    <n v="352"/>
    <s v="ACX352"/>
    <s v="Rakib Kazi"/>
    <x v="3"/>
    <x v="0"/>
    <x v="2"/>
    <x v="1"/>
    <x v="43"/>
    <x v="43"/>
    <x v="0"/>
    <x v="0"/>
    <x v="5"/>
    <s v="Ershad Nagar"/>
    <x v="0"/>
    <x v="0"/>
    <n v="6000"/>
  </r>
  <r>
    <n v="353"/>
    <s v="ACX353"/>
    <s v="Aminul Islam Pappu"/>
    <x v="0"/>
    <x v="0"/>
    <x v="2"/>
    <x v="1"/>
    <x v="43"/>
    <x v="43"/>
    <x v="0"/>
    <x v="0"/>
    <x v="2"/>
    <s v="Ershad Nagar"/>
    <x v="0"/>
    <x v="0"/>
    <n v="6000"/>
  </r>
  <r>
    <n v="354"/>
    <s v="ACX354"/>
    <s v="Nazmul Akondo"/>
    <x v="0"/>
    <x v="0"/>
    <x v="2"/>
    <x v="1"/>
    <x v="43"/>
    <x v="43"/>
    <x v="0"/>
    <x v="0"/>
    <x v="1"/>
    <s v="Board Bazar"/>
    <x v="2"/>
    <x v="0"/>
    <n v="6000"/>
  </r>
  <r>
    <n v="355"/>
    <s v="ACX355"/>
    <s v="Md. Ripon Sheikh"/>
    <x v="5"/>
    <x v="0"/>
    <x v="2"/>
    <x v="1"/>
    <x v="44"/>
    <x v="44"/>
    <x v="0"/>
    <x v="1"/>
    <x v="4"/>
    <s v="Gazipura 27"/>
    <x v="0"/>
    <x v="0"/>
    <n v="6000"/>
  </r>
  <r>
    <n v="356"/>
    <s v="ACX356"/>
    <s v="Hamim Zubaed Shuvo"/>
    <x v="3"/>
    <x v="0"/>
    <x v="2"/>
    <x v="1"/>
    <x v="45"/>
    <x v="45"/>
    <x v="0"/>
    <x v="0"/>
    <x v="2"/>
    <s v="Gazipura 27"/>
    <x v="0"/>
    <x v="0"/>
    <n v="6000"/>
  </r>
  <r>
    <n v="357"/>
    <s v="ACX357"/>
    <s v="Md. Samiul Islam"/>
    <x v="2"/>
    <x v="0"/>
    <x v="2"/>
    <x v="1"/>
    <x v="45"/>
    <x v="45"/>
    <x v="0"/>
    <x v="0"/>
    <x v="2"/>
    <s v="Gazipura 27"/>
    <x v="0"/>
    <x v="0"/>
    <n v="6000"/>
  </r>
  <r>
    <n v="358"/>
    <s v="ACX358"/>
    <s v="Easrat Jahan"/>
    <x v="3"/>
    <x v="0"/>
    <x v="2"/>
    <x v="1"/>
    <x v="45"/>
    <x v="45"/>
    <x v="1"/>
    <x v="0"/>
    <x v="2"/>
    <s v="Ershad Nagar"/>
    <x v="0"/>
    <x v="0"/>
    <n v="6000"/>
  </r>
  <r>
    <n v="359"/>
    <s v="ACX359"/>
    <s v="Sadia Akter Nitu"/>
    <x v="0"/>
    <x v="0"/>
    <x v="2"/>
    <x v="1"/>
    <x v="46"/>
    <x v="46"/>
    <x v="1"/>
    <x v="0"/>
    <x v="5"/>
    <s v="Ershad Nagar"/>
    <x v="0"/>
    <x v="0"/>
    <n v="6000"/>
  </r>
  <r>
    <n v="360"/>
    <s v="ACX360"/>
    <s v="Isahik Kazi"/>
    <x v="3"/>
    <x v="0"/>
    <x v="2"/>
    <x v="1"/>
    <x v="46"/>
    <x v="46"/>
    <x v="0"/>
    <x v="0"/>
    <x v="1"/>
    <s v="Gazipura 27"/>
    <x v="0"/>
    <x v="0"/>
    <n v="6000"/>
  </r>
  <r>
    <n v="361"/>
    <s v="ACX361"/>
    <s v="Md. Asharat Hossain"/>
    <x v="5"/>
    <x v="0"/>
    <x v="2"/>
    <x v="1"/>
    <x v="47"/>
    <x v="47"/>
    <x v="0"/>
    <x v="0"/>
    <x v="0"/>
    <s v="Gazipura 27"/>
    <x v="0"/>
    <x v="0"/>
    <n v="6000"/>
  </r>
  <r>
    <n v="362"/>
    <s v="ACX362"/>
    <s v="Mst. Asma Begum"/>
    <x v="2"/>
    <x v="0"/>
    <x v="2"/>
    <x v="1"/>
    <x v="47"/>
    <x v="47"/>
    <x v="1"/>
    <x v="0"/>
    <x v="0"/>
    <s v="Gazipura 27"/>
    <x v="0"/>
    <x v="0"/>
    <n v="6000"/>
  </r>
  <r>
    <n v="363"/>
    <s v="ACX363"/>
    <s v="Miss. Rima Khatun"/>
    <x v="0"/>
    <x v="0"/>
    <x v="2"/>
    <x v="1"/>
    <x v="48"/>
    <x v="48"/>
    <x v="1"/>
    <x v="1"/>
    <x v="3"/>
    <s v="Gazipura 27"/>
    <x v="0"/>
    <x v="0"/>
    <n v="6000"/>
  </r>
  <r>
    <n v="364"/>
    <s v="ACX364"/>
    <s v="Md. Ariful Islam"/>
    <x v="3"/>
    <x v="0"/>
    <x v="2"/>
    <x v="1"/>
    <x v="49"/>
    <x v="49"/>
    <x v="0"/>
    <x v="0"/>
    <x v="1"/>
    <s v="Gazipura 27"/>
    <x v="0"/>
    <x v="0"/>
    <n v="6000"/>
  </r>
  <r>
    <n v="365"/>
    <s v="ACX365"/>
    <s v="Md. Nazmul Hassan"/>
    <x v="3"/>
    <x v="0"/>
    <x v="2"/>
    <x v="1"/>
    <x v="50"/>
    <x v="50"/>
    <x v="0"/>
    <x v="0"/>
    <x v="2"/>
    <s v="Gazipura 27"/>
    <x v="0"/>
    <x v="0"/>
    <n v="6000"/>
  </r>
  <r>
    <n v="366"/>
    <s v="ACX366"/>
    <s v="Reshma Rahman"/>
    <x v="0"/>
    <x v="0"/>
    <x v="2"/>
    <x v="1"/>
    <x v="51"/>
    <x v="51"/>
    <x v="1"/>
    <x v="0"/>
    <x v="1"/>
    <s v="Ershad Nagar"/>
    <x v="0"/>
    <x v="0"/>
    <n v="6000"/>
  </r>
  <r>
    <n v="367"/>
    <s v="ACX367"/>
    <s v="Tamanna Sultana Mim"/>
    <x v="0"/>
    <x v="0"/>
    <x v="2"/>
    <x v="1"/>
    <x v="51"/>
    <x v="51"/>
    <x v="1"/>
    <x v="1"/>
    <x v="0"/>
    <s v="Sign board"/>
    <x v="2"/>
    <x v="0"/>
    <n v="6000"/>
  </r>
  <r>
    <n v="368"/>
    <s v="ACX368"/>
    <s v="Kulsum Akter Mala"/>
    <x v="0"/>
    <x v="0"/>
    <x v="2"/>
    <x v="1"/>
    <x v="51"/>
    <x v="51"/>
    <x v="1"/>
    <x v="0"/>
    <x v="0"/>
    <s v="Ershad Nagar"/>
    <x v="0"/>
    <x v="0"/>
    <n v="6000"/>
  </r>
  <r>
    <n v="369"/>
    <s v="ACX369"/>
    <s v="Saruf Ahmed Antar"/>
    <x v="0"/>
    <x v="0"/>
    <x v="2"/>
    <x v="1"/>
    <x v="51"/>
    <x v="51"/>
    <x v="0"/>
    <x v="0"/>
    <x v="0"/>
    <s v="Ershad Nagar"/>
    <x v="0"/>
    <x v="0"/>
    <n v="6000"/>
  </r>
  <r>
    <n v="370"/>
    <s v="ACX370"/>
    <s v="Md. Saikhul Islam Siam"/>
    <x v="0"/>
    <x v="0"/>
    <x v="2"/>
    <x v="1"/>
    <x v="51"/>
    <x v="51"/>
    <x v="0"/>
    <x v="0"/>
    <x v="2"/>
    <s v="Board Bazar"/>
    <x v="2"/>
    <x v="0"/>
    <n v="6000"/>
  </r>
  <r>
    <n v="371"/>
    <s v="ACX371"/>
    <s v="Bishwajit Mandal"/>
    <x v="0"/>
    <x v="0"/>
    <x v="2"/>
    <x v="1"/>
    <x v="51"/>
    <x v="51"/>
    <x v="0"/>
    <x v="0"/>
    <x v="1"/>
    <s v="Board Bazar"/>
    <x v="2"/>
    <x v="0"/>
    <n v="6000"/>
  </r>
  <r>
    <n v="372"/>
    <s v="ACX372"/>
    <s v="Riaj Uddin"/>
    <x v="0"/>
    <x v="0"/>
    <x v="2"/>
    <x v="1"/>
    <x v="51"/>
    <x v="51"/>
    <x v="0"/>
    <x v="0"/>
    <x v="0"/>
    <s v="Bonmala Road"/>
    <x v="2"/>
    <x v="0"/>
    <n v="6000"/>
  </r>
  <r>
    <n v="373"/>
    <s v="ACX373"/>
    <s v="Akia Akter"/>
    <x v="0"/>
    <x v="0"/>
    <x v="2"/>
    <x v="1"/>
    <x v="51"/>
    <x v="51"/>
    <x v="1"/>
    <x v="0"/>
    <x v="1"/>
    <s v="Ershad Nagar"/>
    <x v="0"/>
    <x v="0"/>
    <n v="6000"/>
  </r>
  <r>
    <n v="374"/>
    <s v="ACX374"/>
    <s v="Md. Sojib Mia"/>
    <x v="0"/>
    <x v="0"/>
    <x v="2"/>
    <x v="1"/>
    <x v="51"/>
    <x v="51"/>
    <x v="0"/>
    <x v="0"/>
    <x v="0"/>
    <s v="Gazipura 27"/>
    <x v="0"/>
    <x v="0"/>
    <n v="6000"/>
  </r>
  <r>
    <n v="375"/>
    <s v="ACX375"/>
    <s v="Akash Ahmed"/>
    <x v="0"/>
    <x v="0"/>
    <x v="2"/>
    <x v="1"/>
    <x v="51"/>
    <x v="51"/>
    <x v="0"/>
    <x v="0"/>
    <x v="2"/>
    <s v="Charagali"/>
    <x v="2"/>
    <x v="0"/>
    <n v="6000"/>
  </r>
  <r>
    <n v="376"/>
    <s v="ACX376"/>
    <s v="Sahriar Hossain Fahim"/>
    <x v="2"/>
    <x v="0"/>
    <x v="2"/>
    <x v="1"/>
    <x v="52"/>
    <x v="52"/>
    <x v="0"/>
    <x v="0"/>
    <x v="2"/>
    <s v="Hossen Market"/>
    <x v="0"/>
    <x v="0"/>
    <n v="6000"/>
  </r>
  <r>
    <n v="377"/>
    <s v="ACX377"/>
    <s v="Sumaiya Akter Mim"/>
    <x v="5"/>
    <x v="0"/>
    <x v="2"/>
    <x v="1"/>
    <x v="53"/>
    <x v="53"/>
    <x v="1"/>
    <x v="0"/>
    <x v="5"/>
    <s v="Ershad Nagar"/>
    <x v="0"/>
    <x v="0"/>
    <n v="6000"/>
  </r>
  <r>
    <n v="378"/>
    <s v="ACX378"/>
    <s v="Md. Azizul Hakim Akash"/>
    <x v="2"/>
    <x v="0"/>
    <x v="2"/>
    <x v="1"/>
    <x v="53"/>
    <x v="53"/>
    <x v="0"/>
    <x v="0"/>
    <x v="3"/>
    <s v="Board Bazar"/>
    <x v="2"/>
    <x v="0"/>
    <n v="6000"/>
  </r>
  <r>
    <n v="379"/>
    <s v="ACX379"/>
    <s v="Md. Mehedi Hasan"/>
    <x v="3"/>
    <x v="0"/>
    <x v="2"/>
    <x v="1"/>
    <x v="53"/>
    <x v="53"/>
    <x v="0"/>
    <x v="0"/>
    <x v="1"/>
    <s v="Gazipura 27"/>
    <x v="0"/>
    <x v="0"/>
    <n v="6000"/>
  </r>
  <r>
    <n v="380"/>
    <s v="ACX380"/>
    <s v="Md. Safayet Hossain Rifat"/>
    <x v="2"/>
    <x v="0"/>
    <x v="2"/>
    <x v="1"/>
    <x v="53"/>
    <x v="53"/>
    <x v="0"/>
    <x v="0"/>
    <x v="2"/>
    <s v="Hossen Market"/>
    <x v="0"/>
    <x v="0"/>
    <n v="6000"/>
  </r>
  <r>
    <n v="381"/>
    <s v="ACX381"/>
    <s v="Dipta Halder"/>
    <x v="6"/>
    <x v="0"/>
    <x v="2"/>
    <x v="1"/>
    <x v="53"/>
    <x v="53"/>
    <x v="0"/>
    <x v="0"/>
    <x v="3"/>
    <s v="Ershad Nagar"/>
    <x v="0"/>
    <x v="0"/>
    <n v="6000"/>
  </r>
  <r>
    <n v="382"/>
    <s v="ACX382"/>
    <s v="Md. Tarikul Islam Nahid"/>
    <x v="0"/>
    <x v="0"/>
    <x v="2"/>
    <x v="1"/>
    <x v="53"/>
    <x v="53"/>
    <x v="0"/>
    <x v="0"/>
    <x v="7"/>
    <s v="Gazipur Sadar"/>
    <x v="3"/>
    <x v="0"/>
    <n v="6000"/>
  </r>
  <r>
    <n v="383"/>
    <s v="ACX383"/>
    <s v="Jonaky"/>
    <x v="0"/>
    <x v="0"/>
    <x v="2"/>
    <x v="1"/>
    <x v="54"/>
    <x v="54"/>
    <x v="1"/>
    <x v="0"/>
    <x v="0"/>
    <s v="Board Bazar"/>
    <x v="2"/>
    <x v="0"/>
    <n v="6000"/>
  </r>
  <r>
    <n v="384"/>
    <s v="ACX384"/>
    <s v="Nahid Khan"/>
    <x v="2"/>
    <x v="0"/>
    <x v="2"/>
    <x v="1"/>
    <x v="54"/>
    <x v="54"/>
    <x v="0"/>
    <x v="0"/>
    <x v="4"/>
    <s v="Hossen Market"/>
    <x v="0"/>
    <x v="0"/>
    <n v="6000"/>
  </r>
  <r>
    <n v="385"/>
    <s v="ACX385"/>
    <s v="Abu Hanif "/>
    <x v="3"/>
    <x v="0"/>
    <x v="2"/>
    <x v="1"/>
    <x v="54"/>
    <x v="54"/>
    <x v="0"/>
    <x v="0"/>
    <x v="0"/>
    <s v="Gazipura 27"/>
    <x v="0"/>
    <x v="0"/>
    <n v="6000"/>
  </r>
  <r>
    <n v="386"/>
    <s v="ACX386"/>
    <s v="Md. Jubail Islam"/>
    <x v="2"/>
    <x v="0"/>
    <x v="2"/>
    <x v="1"/>
    <x v="54"/>
    <x v="54"/>
    <x v="0"/>
    <x v="0"/>
    <x v="0"/>
    <s v="Gazipura 27"/>
    <x v="0"/>
    <x v="0"/>
    <n v="6000"/>
  </r>
  <r>
    <n v="387"/>
    <s v="ACX387"/>
    <s v="Adithy Roy"/>
    <x v="2"/>
    <x v="0"/>
    <x v="2"/>
    <x v="1"/>
    <x v="54"/>
    <x v="54"/>
    <x v="1"/>
    <x v="0"/>
    <x v="0"/>
    <s v="Hossen Market"/>
    <x v="0"/>
    <x v="0"/>
    <n v="6000"/>
  </r>
  <r>
    <n v="388"/>
    <s v="ACX388"/>
    <s v="Md. Nayon Mia"/>
    <x v="0"/>
    <x v="0"/>
    <x v="2"/>
    <x v="1"/>
    <x v="54"/>
    <x v="54"/>
    <x v="0"/>
    <x v="0"/>
    <x v="1"/>
    <s v="Gazipura 27"/>
    <x v="0"/>
    <x v="0"/>
    <n v="6000"/>
  </r>
  <r>
    <n v="389"/>
    <s v="ACX389"/>
    <s v="Nur Rahman"/>
    <x v="0"/>
    <x v="0"/>
    <x v="2"/>
    <x v="1"/>
    <x v="54"/>
    <x v="54"/>
    <x v="0"/>
    <x v="0"/>
    <x v="2"/>
    <s v="Gazipur Sadar"/>
    <x v="3"/>
    <x v="0"/>
    <n v="6000"/>
  </r>
  <r>
    <n v="390"/>
    <s v="ACX390"/>
    <s v="Md. Jobber Hossain"/>
    <x v="0"/>
    <x v="0"/>
    <x v="2"/>
    <x v="1"/>
    <x v="54"/>
    <x v="54"/>
    <x v="0"/>
    <x v="0"/>
    <x v="0"/>
    <s v="Boro Bari"/>
    <x v="2"/>
    <x v="0"/>
    <n v="6000"/>
  </r>
  <r>
    <n v="391"/>
    <s v="ACX391"/>
    <s v="Mst. Rokeya Roni"/>
    <x v="2"/>
    <x v="0"/>
    <x v="2"/>
    <x v="1"/>
    <x v="55"/>
    <x v="55"/>
    <x v="1"/>
    <x v="0"/>
    <x v="2"/>
    <s v="Gazipura 27"/>
    <x v="0"/>
    <x v="0"/>
    <n v="6000"/>
  </r>
  <r>
    <n v="392"/>
    <s v="ACX392"/>
    <s v="Mahadul Islam"/>
    <x v="5"/>
    <x v="0"/>
    <x v="2"/>
    <x v="1"/>
    <x v="55"/>
    <x v="55"/>
    <x v="0"/>
    <x v="1"/>
    <x v="1"/>
    <s v="Gazipura 27"/>
    <x v="0"/>
    <x v="0"/>
    <n v="6000"/>
  </r>
  <r>
    <n v="393"/>
    <s v="ACX393"/>
    <s v="Lamya Islam Tanjila"/>
    <x v="2"/>
    <x v="0"/>
    <x v="2"/>
    <x v="1"/>
    <x v="55"/>
    <x v="55"/>
    <x v="1"/>
    <x v="0"/>
    <x v="2"/>
    <s v="Gazipura 27"/>
    <x v="0"/>
    <x v="0"/>
    <n v="6000"/>
  </r>
  <r>
    <n v="394"/>
    <s v="ACX394"/>
    <s v="Afsana Akter"/>
    <x v="3"/>
    <x v="0"/>
    <x v="2"/>
    <x v="1"/>
    <x v="56"/>
    <x v="56"/>
    <x v="1"/>
    <x v="0"/>
    <x v="0"/>
    <s v="Gacha"/>
    <x v="2"/>
    <x v="0"/>
    <n v="6000"/>
  </r>
  <r>
    <n v="395"/>
    <s v="ACX395"/>
    <s v="Md. Mosarof Hosen"/>
    <x v="2"/>
    <x v="0"/>
    <x v="2"/>
    <x v="1"/>
    <x v="56"/>
    <x v="56"/>
    <x v="0"/>
    <x v="0"/>
    <x v="1"/>
    <s v="Board Bazar"/>
    <x v="2"/>
    <x v="0"/>
    <n v="6000"/>
  </r>
  <r>
    <n v="396"/>
    <s v="ACX396"/>
    <s v="Muhammad Hossain Al Fahim"/>
    <x v="6"/>
    <x v="4"/>
    <x v="1"/>
    <x v="1"/>
    <x v="57"/>
    <x v="57"/>
    <x v="0"/>
    <x v="1"/>
    <x v="2"/>
    <s v="Bashundhara"/>
    <x v="3"/>
    <x v="0"/>
    <n v="6000"/>
  </r>
  <r>
    <n v="397"/>
    <s v="ACX397"/>
    <s v="Md. Rayhan Sarker"/>
    <x v="0"/>
    <x v="0"/>
    <x v="2"/>
    <x v="1"/>
    <x v="58"/>
    <x v="58"/>
    <x v="0"/>
    <x v="0"/>
    <x v="3"/>
    <s v="Boro Bari"/>
    <x v="2"/>
    <x v="0"/>
    <n v="6000"/>
  </r>
  <r>
    <n v="398"/>
    <s v="ACX398"/>
    <s v="Suma Akter"/>
    <x v="0"/>
    <x v="0"/>
    <x v="2"/>
    <x v="1"/>
    <x v="59"/>
    <x v="59"/>
    <x v="1"/>
    <x v="0"/>
    <x v="8"/>
    <s v="Board Bazar"/>
    <x v="2"/>
    <x v="0"/>
    <n v="6000"/>
  </r>
  <r>
    <n v="399"/>
    <s v="ACX399"/>
    <s v="Md. Shakil Hossain"/>
    <x v="2"/>
    <x v="0"/>
    <x v="2"/>
    <x v="1"/>
    <x v="60"/>
    <x v="60"/>
    <x v="0"/>
    <x v="0"/>
    <x v="2"/>
    <s v="Gacha"/>
    <x v="2"/>
    <x v="0"/>
    <n v="6000"/>
  </r>
  <r>
    <n v="400"/>
    <s v="ACX400"/>
    <s v="Mst. Somaiya Khanom Sumi"/>
    <x v="3"/>
    <x v="0"/>
    <x v="2"/>
    <x v="1"/>
    <x v="60"/>
    <x v="60"/>
    <x v="1"/>
    <x v="0"/>
    <x v="2"/>
    <s v="Gazipura 27"/>
    <x v="0"/>
    <x v="0"/>
    <n v="6000"/>
  </r>
  <r>
    <n v="401"/>
    <s v="ACX401"/>
    <s v="Tamim Banu"/>
    <x v="2"/>
    <x v="0"/>
    <x v="2"/>
    <x v="1"/>
    <x v="60"/>
    <x v="60"/>
    <x v="1"/>
    <x v="0"/>
    <x v="1"/>
    <s v="Gazipur Sadar"/>
    <x v="3"/>
    <x v="0"/>
    <n v="6000"/>
  </r>
  <r>
    <n v="402"/>
    <s v="ACX402"/>
    <s v="Eshita Akter"/>
    <x v="2"/>
    <x v="0"/>
    <x v="2"/>
    <x v="1"/>
    <x v="60"/>
    <x v="60"/>
    <x v="1"/>
    <x v="0"/>
    <x v="0"/>
    <s v="Gazipura 27"/>
    <x v="0"/>
    <x v="0"/>
    <n v="30000"/>
  </r>
  <r>
    <n v="403"/>
    <s v="ACX403"/>
    <s v="Mst. Labony Akter"/>
    <x v="0"/>
    <x v="0"/>
    <x v="2"/>
    <x v="1"/>
    <x v="60"/>
    <x v="60"/>
    <x v="1"/>
    <x v="0"/>
    <x v="1"/>
    <s v="Gacha"/>
    <x v="2"/>
    <x v="0"/>
    <n v="30000"/>
  </r>
  <r>
    <n v="404"/>
    <s v="ACX404"/>
    <s v="Fareya Sultana"/>
    <x v="3"/>
    <x v="0"/>
    <x v="2"/>
    <x v="1"/>
    <x v="60"/>
    <x v="60"/>
    <x v="1"/>
    <x v="0"/>
    <x v="0"/>
    <s v="Gazipura 27"/>
    <x v="0"/>
    <x v="0"/>
    <n v="30000"/>
  </r>
  <r>
    <n v="405"/>
    <s v="ACX405"/>
    <s v="Md. Shahajalal"/>
    <x v="3"/>
    <x v="0"/>
    <x v="2"/>
    <x v="1"/>
    <x v="60"/>
    <x v="60"/>
    <x v="0"/>
    <x v="0"/>
    <x v="0"/>
    <s v="Gazipura 27"/>
    <x v="0"/>
    <x v="0"/>
    <n v="30000"/>
  </r>
  <r>
    <n v="406"/>
    <s v="ACX406"/>
    <s v="Md. Alamin Hossain"/>
    <x v="2"/>
    <x v="0"/>
    <x v="2"/>
    <x v="1"/>
    <x v="61"/>
    <x v="61"/>
    <x v="0"/>
    <x v="0"/>
    <x v="1"/>
    <s v="Gazipura 27"/>
    <x v="0"/>
    <x v="0"/>
    <n v="30000"/>
  </r>
  <r>
    <n v="407"/>
    <s v="ACX407"/>
    <s v="Abdullah Al Mamun"/>
    <x v="2"/>
    <x v="0"/>
    <x v="2"/>
    <x v="1"/>
    <x v="62"/>
    <x v="62"/>
    <x v="0"/>
    <x v="0"/>
    <x v="2"/>
    <s v="Gazipura 27"/>
    <x v="0"/>
    <x v="0"/>
    <n v="30000"/>
  </r>
  <r>
    <n v="408"/>
    <s v="ACX408"/>
    <s v="Md. Abdullah"/>
    <x v="1"/>
    <x v="9"/>
    <x v="0"/>
    <x v="1"/>
    <x v="63"/>
    <x v="63"/>
    <x v="0"/>
    <x v="0"/>
    <x v="0"/>
    <s v="Tongi Bazar"/>
    <x v="1"/>
    <x v="0"/>
    <n v="30000"/>
  </r>
  <r>
    <n v="409"/>
    <s v="ACX409"/>
    <s v="Md. Abdullah Al Ripon"/>
    <x v="3"/>
    <x v="3"/>
    <x v="1"/>
    <x v="1"/>
    <x v="64"/>
    <x v="64"/>
    <x v="0"/>
    <x v="1"/>
    <x v="2"/>
    <s v="Kaliakoir"/>
    <x v="4"/>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737550-D839-4D51-BD4A-2FEF361AB416}"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36" firstHeaderRow="1" firstDataRow="1" firstDataCol="1"/>
  <pivotFields count="19">
    <pivotField showAll="0"/>
    <pivotField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dataField="1" showAll="0"/>
    <pivotField showAll="0">
      <items count="8">
        <item x="1"/>
        <item x="4"/>
        <item x="0"/>
        <item x="5"/>
        <item x="6"/>
        <item x="2"/>
        <item x="3"/>
        <item t="default"/>
      </items>
    </pivotField>
    <pivotField showAll="0"/>
    <pivotField showAll="0">
      <items count="4">
        <item sd="0" x="2"/>
        <item sd="0" x="1"/>
        <item sd="0" x="0"/>
        <item t="default" sd="0"/>
      </items>
    </pivotField>
    <pivotField showAll="0"/>
    <pivotField numFmtId="165" showAll="0"/>
    <pivotField axis="axisRow"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numFmtId="166" showAll="0"/>
    <pivotField axis="axisRow" showAll="0">
      <items count="15">
        <item sd="0" x="0"/>
        <item sd="0" x="1"/>
        <item sd="0" x="2"/>
        <item x="3"/>
        <item x="4"/>
        <item x="5"/>
        <item x="6"/>
        <item x="7"/>
        <item x="8"/>
        <item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6"/>
    <field x="8"/>
  </rowFields>
  <rowItems count="32">
    <i>
      <x v="1"/>
    </i>
    <i r="1">
      <x v="3"/>
    </i>
    <i r="2">
      <x/>
    </i>
    <i r="1">
      <x v="5"/>
    </i>
    <i r="2">
      <x v="1"/>
    </i>
    <i r="2">
      <x v="2"/>
    </i>
    <i r="1">
      <x v="6"/>
    </i>
    <i r="2">
      <x v="3"/>
    </i>
    <i r="2">
      <x v="4"/>
    </i>
    <i r="2">
      <x v="5"/>
    </i>
    <i r="2">
      <x v="6"/>
    </i>
    <i r="2">
      <x v="7"/>
    </i>
    <i r="1">
      <x v="7"/>
    </i>
    <i r="2">
      <x v="8"/>
    </i>
    <i r="2">
      <x v="9"/>
    </i>
    <i r="2">
      <x v="10"/>
    </i>
    <i r="1">
      <x v="8"/>
    </i>
    <i r="2">
      <x v="11"/>
    </i>
    <i r="1">
      <x v="9"/>
    </i>
    <i r="2">
      <x v="12"/>
    </i>
    <i r="1">
      <x v="11"/>
    </i>
    <i r="1">
      <x v="12"/>
    </i>
    <i>
      <x v="2"/>
    </i>
    <i r="1">
      <x v="1"/>
    </i>
    <i r="1">
      <x v="2"/>
    </i>
    <i r="1">
      <x v="3"/>
    </i>
    <i r="2">
      <x v="62"/>
    </i>
    <i r="1">
      <x v="4"/>
    </i>
    <i r="2">
      <x v="63"/>
    </i>
    <i r="1">
      <x v="5"/>
    </i>
    <i r="2">
      <x v="64"/>
    </i>
    <i t="grand">
      <x/>
    </i>
  </rowItems>
  <colItems count="1">
    <i/>
  </colItems>
  <dataFields count="1">
    <dataField name="Count of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CDBCE-7CD5-48A6-A256-D4F458088D22}"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19">
    <pivotField showAll="0"/>
    <pivotField axis="axisRow"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pivotField showAll="0"/>
    <pivotField axis="axisRow" showAll="0">
      <items count="4">
        <item sd="0" x="2"/>
        <item sd="0" x="1"/>
        <item sd="0" x="0"/>
        <item t="default" sd="0"/>
      </items>
    </pivotField>
    <pivotField showAll="0"/>
    <pivotField numFmtId="165" showAll="0"/>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1"/>
  </rowFields>
  <rowItems count="4">
    <i>
      <x/>
    </i>
    <i>
      <x v="1"/>
    </i>
    <i>
      <x v="2"/>
    </i>
    <i t="grand">
      <x/>
    </i>
  </rowItems>
  <colItems count="1">
    <i/>
  </colItems>
  <dataFields count="1">
    <dataField name="Sum of Baisc Salary" fld="1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9AC32-B6F9-4489-99C0-D8307056621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9">
    <pivotField showAll="0"/>
    <pivotField axis="axisRow" showAll="0">
      <items count="410">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8">
        <item x="1"/>
        <item x="4"/>
        <item x="0"/>
        <item x="5"/>
        <item x="6"/>
        <item x="2"/>
        <item x="3"/>
        <item t="default"/>
      </items>
    </pivotField>
    <pivotField showAll="0"/>
    <pivotField axis="axisRow" showAll="0">
      <items count="4">
        <item sd="0" x="2"/>
        <item sd="0" x="1"/>
        <item sd="0" x="0"/>
        <item t="default" sd="0"/>
      </items>
    </pivotField>
    <pivotField showAll="0"/>
    <pivotField numFmtId="165" showAll="0"/>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1"/>
  </rowFields>
  <rowItems count="4">
    <i>
      <x/>
    </i>
    <i>
      <x v="1"/>
    </i>
    <i>
      <x v="2"/>
    </i>
    <i t="grand">
      <x/>
    </i>
  </rowItems>
  <colItems count="1">
    <i/>
  </colItems>
  <dataFields count="1">
    <dataField name="Sum of Baisc Salary" fld="15" baseField="5"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3AA52-12C9-46D7-AB76-9457D3A7F2C9}" name="Department Wise salary"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8:V16" firstHeaderRow="1" firstDataRow="1" firstDataCol="1"/>
  <pivotFields count="19">
    <pivotField showAll="0"/>
    <pivotField showAll="0"/>
    <pivotField showAll="0"/>
    <pivotField axis="axisRow" showAll="0">
      <items count="8">
        <item x="1"/>
        <item x="4"/>
        <item x="0"/>
        <item x="5"/>
        <item x="6"/>
        <item x="2"/>
        <item x="3"/>
        <item t="default"/>
      </items>
    </pivotField>
    <pivotField showAll="0"/>
    <pivotField showAll="0"/>
    <pivotField showAll="0"/>
    <pivotField numFmtId="165" showAll="0"/>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dataField="1" numFmtId="166" showAll="0"/>
    <pivotField showAll="0" defaultSubtotal="0"/>
    <pivotField showAll="0" defaultSubtotal="0"/>
    <pivotField showAll="0" defaultSubtotal="0">
      <items count="4">
        <item x="0"/>
        <item x="1"/>
        <item x="2"/>
        <item x="3"/>
      </items>
    </pivotField>
  </pivotFields>
  <rowFields count="1">
    <field x="3"/>
  </rowFields>
  <rowItems count="8">
    <i>
      <x/>
    </i>
    <i>
      <x v="1"/>
    </i>
    <i>
      <x v="2"/>
    </i>
    <i>
      <x v="3"/>
    </i>
    <i>
      <x v="4"/>
    </i>
    <i>
      <x v="5"/>
    </i>
    <i>
      <x v="6"/>
    </i>
    <i t="grand">
      <x/>
    </i>
  </rowItems>
  <colItems count="1">
    <i/>
  </colItems>
  <dataFields count="1">
    <dataField name="Sum of Baisc Salary" fld="1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979073-EAF9-4C90-9A00-E35F451D573B}" name="PivotTable1" cacheId="3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4:B5" firstHeaderRow="1" firstDataRow="1" firstDataCol="0"/>
  <pivotFields count="22">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Total Employees" fld="0" subtotal="count" baseField="0" baseItem="10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1A7461-7386-4002-A9B9-27A186C53A1D}" name="PivotTable13" cacheId="3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4">
  <location ref="B74:C78" firstHeaderRow="1" firstDataRow="1" firstDataCol="1"/>
  <pivotFields count="22">
    <pivotField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axis="axisRow" dataField="1"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4"/>
  </rowFields>
  <rowItems count="4">
    <i>
      <x/>
    </i>
    <i>
      <x v="1"/>
    </i>
    <i>
      <x v="2"/>
    </i>
    <i t="grand">
      <x/>
    </i>
  </rowItems>
  <colItems count="1">
    <i/>
  </colItems>
  <dataFields count="1">
    <dataField name="Count of Working status" fld="14" subtotal="count" baseField="0" baseItem="0"/>
  </dataFields>
  <chartFormats count="4">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4" count="1" selected="0">
            <x v="0"/>
          </reference>
        </references>
      </pivotArea>
    </chartFormat>
    <chartFormat chart="33" format="4">
      <pivotArea type="data" outline="0" fieldPosition="0">
        <references count="2">
          <reference field="4294967294" count="1" selected="0">
            <x v="0"/>
          </reference>
          <reference field="14" count="1" selected="0">
            <x v="1"/>
          </reference>
        </references>
      </pivotArea>
    </chartFormat>
    <chartFormat chart="33"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BB9BEA-8F40-4970-9384-EE1644E7EA1F}" name="PivotTable6"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Employee Type">
  <location ref="B41:C43"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axis="axisRow"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6"/>
  </rowFields>
  <rowItems count="2">
    <i>
      <x/>
    </i>
    <i>
      <x v="1"/>
    </i>
  </rowItems>
  <colItems count="1">
    <i/>
  </colItems>
  <dataFields count="1">
    <dataField name="Count of SL" fld="0" subtotal="count" baseField="9" baseItem="0"/>
  </dataFields>
  <chartFormats count="7">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0"/>
          </reference>
        </references>
      </pivotArea>
    </chartFormat>
    <chartFormat chart="11"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B370B-9C37-45BA-AC25-977C35D61474}" name="PivotTable12"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9" rowHeaderCaption="Distance">
  <location ref="B71:B72" firstHeaderRow="1" firstDataRow="1" firstDataCol="0"/>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Count of SL" fld="0" subtotal="count" baseField="9" baseItem="0"/>
  </dataFields>
  <chartFormats count="5">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8525FF-5C66-46C2-9536-057EC131411B}" name="PivotTable9"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Distance">
  <location ref="B63:C69"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axis="axisRow" showAll="0">
      <items count="7">
        <item x="3"/>
        <item x="0"/>
        <item x="4"/>
        <item x="2"/>
        <item x="1"/>
        <item x="5"/>
        <item t="default"/>
      </items>
    </pivotField>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6">
    <i>
      <x/>
    </i>
    <i>
      <x v="1"/>
    </i>
    <i>
      <x v="2"/>
    </i>
    <i>
      <x v="3"/>
    </i>
    <i>
      <x v="4"/>
    </i>
    <i>
      <x v="5"/>
    </i>
  </rowItems>
  <colItems count="1">
    <i/>
  </colItems>
  <dataFields count="1">
    <dataField name="Count of SL" fld="0" subtotal="count" baseField="9" baseItem="0"/>
  </dataFields>
  <chartFormats count="5">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208185-B649-4C22-9A8A-2ED776CD584C}" name="PivotTable2"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0" rowHeaderCaption="Gender">
  <location ref="B7:C9"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9"/>
  </rowFields>
  <rowItems count="2">
    <i>
      <x/>
    </i>
    <i>
      <x v="1"/>
    </i>
  </rowItems>
  <colItems count="1">
    <i/>
  </colItems>
  <dataFields count="1">
    <dataField name="Count of SL" fld="0" subtotal="count" baseField="9"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BEB563-FFE3-4C82-A259-E928FBC988C9}" name="PivotTable4"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8" rowHeaderCaption="Employee by Department.">
  <location ref="B12:C19" firstHeaderRow="1" firstDataRow="1" firstDataCol="1"/>
  <pivotFields count="22">
    <pivotField dataField="1" showAll="0"/>
    <pivotField showAll="0"/>
    <pivotField showAll="0"/>
    <pivotField axis="axisRow"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3"/>
  </rowFields>
  <rowItems count="7">
    <i>
      <x/>
    </i>
    <i>
      <x v="1"/>
    </i>
    <i>
      <x v="2"/>
    </i>
    <i>
      <x v="3"/>
    </i>
    <i>
      <x v="4"/>
    </i>
    <i>
      <x v="5"/>
    </i>
    <i>
      <x v="6"/>
    </i>
  </rowItems>
  <colItems count="1">
    <i/>
  </colItems>
  <dataFields count="1">
    <dataField name="Count of SL" fld="0" subtotal="count" baseField="9" baseItem="0"/>
  </dataFields>
  <chartFormats count="13">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6"/>
          </reference>
        </references>
      </pivotArea>
    </chartFormat>
    <chartFormat chart="14" format="4">
      <pivotArea type="data" outline="0" fieldPosition="0">
        <references count="2">
          <reference field="4294967294" count="1" selected="0">
            <x v="0"/>
          </reference>
          <reference field="3" count="1" selected="0">
            <x v="4"/>
          </reference>
        </references>
      </pivotArea>
    </chartFormat>
    <chartFormat chart="14" format="5">
      <pivotArea type="data" outline="0" fieldPosition="0">
        <references count="2">
          <reference field="4294967294" count="1" selected="0">
            <x v="0"/>
          </reference>
          <reference field="3" count="1" selected="0">
            <x v="3"/>
          </reference>
        </references>
      </pivotArea>
    </chartFormat>
    <chartFormat chart="14" format="6">
      <pivotArea type="data" outline="0" fieldPosition="0">
        <references count="2">
          <reference field="4294967294" count="1" selected="0">
            <x v="0"/>
          </reference>
          <reference field="3" count="1" selected="0">
            <x v="2"/>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 chart="14" format="9">
      <pivotArea type="data" outline="0" fieldPosition="0">
        <references count="2">
          <reference field="4294967294" count="1" selected="0">
            <x v="0"/>
          </reference>
          <reference field="3" count="1" selected="0">
            <x v="5"/>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124C3D-EC2C-4BA6-8D07-A67372EDBC42}" name="PivotTable5"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rowHeaderCaption="Employee Category">
  <location ref="B35:C38"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axis="axisRow" showAll="0">
      <items count="4">
        <item x="2"/>
        <item x="1"/>
        <item x="0"/>
        <item t="default"/>
      </items>
    </pivotField>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5"/>
  </rowFields>
  <rowItems count="3">
    <i>
      <x/>
    </i>
    <i>
      <x v="1"/>
    </i>
    <i>
      <x v="2"/>
    </i>
  </rowItems>
  <colItems count="1">
    <i/>
  </colItems>
  <dataFields count="1">
    <dataField name="Count of SL" fld="0" subtotal="count" baseField="9" baseItem="0"/>
  </dataFields>
  <chartFormats count="12">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11" format="4">
      <pivotArea type="data" outline="0" fieldPosition="0">
        <references count="2">
          <reference field="4294967294" count="1" selected="0">
            <x v="0"/>
          </reference>
          <reference field="5" count="1" selected="0">
            <x v="1"/>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5" count="1" selected="0">
            <x v="0"/>
          </reference>
        </references>
      </pivotArea>
    </chartFormat>
    <chartFormat chart="17" format="10">
      <pivotArea type="data" outline="0" fieldPosition="0">
        <references count="2">
          <reference field="4294967294" count="1" selected="0">
            <x v="0"/>
          </reference>
          <reference field="5" count="1" selected="0">
            <x v="1"/>
          </reference>
        </references>
      </pivotArea>
    </chartFormat>
    <chartFormat chart="17"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7A235C-4882-4C6F-986D-8EF812041286}" name="PivotTable7"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5" rowHeaderCaption="Marital Status">
  <location ref="B46:C48"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axis="axisRow"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0"/>
  </rowFields>
  <rowItems count="2">
    <i>
      <x/>
    </i>
    <i>
      <x v="1"/>
    </i>
  </rowItems>
  <colItems count="1">
    <i/>
  </colItems>
  <dataFields count="1">
    <dataField name="Count of SL" fld="0" subtotal="count" baseField="9" baseItem="0"/>
  </dataFields>
  <chartFormats count="7">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0" count="1" selected="0">
            <x v="0"/>
          </reference>
        </references>
      </pivotArea>
    </chartFormat>
    <chartFormat chart="11"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674A41-38B3-4C96-85F0-A68CD4C44B9A}" name="PivotTable8"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Blood Group">
  <location ref="B51:C60" firstHeaderRow="1" firstDataRow="1" firstDataCol="1"/>
  <pivotFields count="22">
    <pivotField dataField="1" showAll="0"/>
    <pivotField showAll="0"/>
    <pivotField showAll="0"/>
    <pivotField showAll="0"/>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axis="axisRow"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1"/>
  </rowFields>
  <rowItems count="9">
    <i>
      <x/>
    </i>
    <i>
      <x v="1"/>
    </i>
    <i>
      <x v="2"/>
    </i>
    <i>
      <x v="3"/>
    </i>
    <i>
      <x v="4"/>
    </i>
    <i>
      <x v="5"/>
    </i>
    <i>
      <x v="6"/>
    </i>
    <i>
      <x v="7"/>
    </i>
    <i>
      <x v="8"/>
    </i>
  </rowItems>
  <colItems count="1">
    <i/>
  </colItems>
  <dataFields count="1">
    <dataField name="Count of SL" fld="0" subtotal="count" baseField="9" baseItem="0"/>
  </dataFields>
  <chartFormats count="10">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4"/>
          </reference>
        </references>
      </pivotArea>
    </chartFormat>
    <chartFormat chart="11" format="4">
      <pivotArea type="data" outline="0" fieldPosition="0">
        <references count="2">
          <reference field="4294967294" count="1" selected="0">
            <x v="0"/>
          </reference>
          <reference field="11" count="1" selected="0">
            <x v="6"/>
          </reference>
        </references>
      </pivotArea>
    </chartFormat>
    <chartFormat chart="11" format="5">
      <pivotArea type="data" outline="0" fieldPosition="0">
        <references count="2">
          <reference field="4294967294" count="1" selected="0">
            <x v="0"/>
          </reference>
          <reference field="11" count="1" selected="0">
            <x v="7"/>
          </reference>
        </references>
      </pivotArea>
    </chartFormat>
    <chartFormat chart="11" format="6">
      <pivotArea type="data" outline="0" fieldPosition="0">
        <references count="2">
          <reference field="4294967294" count="1" selected="0">
            <x v="0"/>
          </reference>
          <reference field="11" count="1" selected="0">
            <x v="2"/>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C5AD0B-A19F-433A-B3A7-7C62AC7E12C3}" name="PivotTable3" cacheId="38"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7" rowHeaderCaption="Employee by Desg.">
  <location ref="B22:C32" firstHeaderRow="1" firstDataRow="1" firstDataCol="1"/>
  <pivotFields count="22">
    <pivotField dataField="1" showAll="0"/>
    <pivotField showAll="0"/>
    <pivotField showAll="0"/>
    <pivotField showAll="0"/>
    <pivotField axis="axisRow"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numFmtId="166"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4"/>
  </rowFields>
  <rowItems count="10">
    <i>
      <x/>
    </i>
    <i>
      <x v="1"/>
    </i>
    <i>
      <x v="2"/>
    </i>
    <i>
      <x v="3"/>
    </i>
    <i>
      <x v="4"/>
    </i>
    <i>
      <x v="5"/>
    </i>
    <i>
      <x v="6"/>
    </i>
    <i>
      <x v="7"/>
    </i>
    <i>
      <x v="8"/>
    </i>
    <i>
      <x v="9"/>
    </i>
  </rowItems>
  <colItems count="1">
    <i/>
  </colItems>
  <dataFields count="1">
    <dataField name="Count of SL" fld="0" subtotal="count" baseField="9" baseItem="0"/>
  </dataFields>
  <chartFormats count="5">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6D8C10C-3222-456F-B91E-332A9CCC8745}" sourceName="Department">
  <pivotTables>
    <pivotTable tabId="3" name="PivotTable1"/>
  </pivotTables>
  <data>
    <tabular pivotCacheId="764761893">
      <items count="7">
        <i x="1" s="1"/>
        <i x="4" s="1"/>
        <i x="0" s="1"/>
        <i x="5" s="1"/>
        <i x="6"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8D32DDB7-4B7C-4279-89CF-AC66EFDCB590}" sourceName="Designation">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10">
        <i x="6" s="1"/>
        <i x="5" s="1"/>
        <i x="8" s="1"/>
        <i x="2" s="1"/>
        <i x="7" s="1"/>
        <i x="0" s="1"/>
        <i x="1" s="1"/>
        <i x="3" s="1"/>
        <i x="4" s="1"/>
        <i x="9"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96F64648-A9FC-4E17-8794-CC28DEF9E6DF}" sourceName="Employee 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CACBA0-88EC-4EE5-B876-92D0512262C0}" sourceName="Gender">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FAE37F-8894-4ABE-A34B-8FC8C3AFB827}" sourceName="Marital Status">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1"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D6C12AA4-2EA2-4DEE-9F83-CDD1CE1D6C98}" sourceName="Blood 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9">
        <i x="6" s="1"/>
        <i x="1" s="1"/>
        <i x="8" s="1"/>
        <i x="3" s="1"/>
        <i x="7" s="1"/>
        <i x="0" s="1"/>
        <i x="5" s="1"/>
        <i x="4" s="1"/>
        <i x="2"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5597FA04-F972-46B3-802F-3802FB316028}" sourceName="Working status">
  <pivotTables>
    <pivotTable tabId="3" name="PivotTable13"/>
    <pivotTable tabId="3" name="PivotTable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764761893">
      <items count="3">
        <i x="0" s="1"/>
        <i x="2" s="1"/>
        <i x="1"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EEB9B66-89A9-425A-92A9-354F0F05DDC4}" sourceName="Department">
  <pivotTables>
    <pivotTable tabId="3" name="Department Wise salary"/>
    <pivotTable tabId="6" name="PivotTable2"/>
    <pivotTable tabId="6" name="PivotTable4"/>
  </pivotTables>
  <data>
    <tabular pivotCacheId="1369168876">
      <items count="7">
        <i x="1" s="1"/>
        <i x="4" s="1"/>
        <i x="0"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D5EE715-5229-480A-9580-1C6B9257546A}" cache="Slicer_Department" caption="Department" columnCount="7" showCaption="0" style="Slicer Style 2" rowHeight="360000"/>
  <slicer name="Designation" xr10:uid="{47841546-966D-4E19-801A-8A21A079643A}" cache="Slicer_Designation" caption="Designation" columnCount="10" showCaption="0" style="SlicerStyleLight1 2" rowHeight="360000"/>
  <slicer name="Employee Type" xr10:uid="{AEC2F0A2-6493-4EA3-854D-F77D5D48A64D}" cache="Slicer_Employee_Type" caption="Employee Type" columnCount="2" showCaption="0" style="Slicer Style 1" rowHeight="241300"/>
  <slicer name="Gender" xr10:uid="{F8555CEA-2144-45B0-BEAC-BB5A2AEF4DB3}" cache="Slicer_Gender" caption="Gender" columnCount="2" showCaption="0" style="Slicer Style 2" rowHeight="241300"/>
  <slicer name="Marital Status" xr10:uid="{6931B0E6-0ABA-4148-92EB-16C96491187A}" cache="Slicer_Marital_Status" caption="Marital Status" columnCount="2" showCaption="0" style="Slicer Style 2" rowHeight="228600"/>
  <slicer name="Blood Group" xr10:uid="{CD2AE474-0ABD-4076-9105-844A931B8517}" cache="Slicer_Blood_Group" caption="Blood Group" columnCount="3" showCaption="0" style="Slicer Style 1" rowHeight="241300"/>
  <slicer name="Working status 1" xr10:uid="{FCEDAED1-5464-4414-BA93-F6A3B9D68220}" cache="Slicer_Working_status" caption="Working status" columnCount="2" showCaption="0" style="Slicer Style 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172D3A2-538D-4DB3-A204-9EE7B058CD2A}" cache="Slicer_Department1" caption="Department"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954A275-E004-4689-8A1C-39900BCAE745}" cache="Slicer_Department" caption="Department" columnCount="2" style="Slicer Style 1" rowHeight="241300"/>
  <slicer name="Gender 1" xr10:uid="{19904B37-5E0E-44D0-9D9F-2AE272B87D33}"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9F81B-B54A-453A-84D7-B05EE6DAE9A9}" name="Table1" displayName="Table1" ref="B2:Q411" totalsRowShown="0" headerRowDxfId="19" dataDxfId="18">
  <autoFilter ref="B2:Q411" xr:uid="{4739F81B-B54A-453A-84D7-B05EE6DAE9A9}"/>
  <tableColumns count="16">
    <tableColumn id="1" xr3:uid="{36DE4FC2-2844-44E6-8258-A7AF0D57C8EB}" name="SL" dataDxfId="17">
      <calculatedColumnFormula>ROW(B1)</calculatedColumnFormula>
    </tableColumn>
    <tableColumn id="2" xr3:uid="{1D386467-4C33-4B85-89E1-5F3A2D699BF9}" name="ID" dataDxfId="16"/>
    <tableColumn id="3" xr3:uid="{5AE9B989-9BAC-415F-8F95-2ADB25234F29}" name="Name" dataDxfId="15"/>
    <tableColumn id="4" xr3:uid="{35EDFA5D-66F8-4323-8AB1-DFADC31270CB}" name="Department" dataDxfId="14"/>
    <tableColumn id="5" xr3:uid="{26BE2E95-B7FE-42A7-9D23-95054AE87023}" name="Designation" dataDxfId="13"/>
    <tableColumn id="6" xr3:uid="{749FAE03-90A5-45BB-95DE-369A64EA13D0}" name="Employee Category" dataDxfId="12"/>
    <tableColumn id="7" xr3:uid="{51C04D0D-1AE0-4A72-A4B9-D42838F7A28A}" name="Employee Type" dataDxfId="11"/>
    <tableColumn id="8" xr3:uid="{8022F9C3-9B6A-4185-81E4-C27536D9E95D}" name="Date of confirmation" dataDxfId="10"/>
    <tableColumn id="9" xr3:uid="{8CA8AAAA-7AC6-400E-A684-B82E725BAAD8}" name="Date of Join" dataDxfId="9"/>
    <tableColumn id="10" xr3:uid="{DF025C82-5C61-40C5-B8F0-8E4653FF8516}" name="Gender" dataDxfId="8"/>
    <tableColumn id="11" xr3:uid="{FFEEA65B-D561-47DD-A7ED-8F0056F3F420}" name="Marital Status" dataDxfId="7"/>
    <tableColumn id="12" xr3:uid="{87A6ACB3-8068-4A87-9EB0-26135EEFA71C}" name="Blood Group" dataDxfId="6"/>
    <tableColumn id="13" xr3:uid="{A2147FA4-914F-4B9F-BC85-EC8F56D2B232}" name="Present Address" dataDxfId="5"/>
    <tableColumn id="14" xr3:uid="{8E8F14A7-C2FF-42A3-89C7-158EB70B2B23}" name="Distance" dataDxfId="4"/>
    <tableColumn id="15" xr3:uid="{3B95B012-C41C-4E7C-B0C2-DBAACB558BD9}" name="Working status" dataDxfId="3"/>
    <tableColumn id="18" xr3:uid="{BC7953D1-4BD6-4263-AB79-2D2EB6B2EBE0}" name="Baisc Salary" dataDxfId="2" dataCellStyle="Comma"/>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16EE-D790-473E-A8E4-3BB3559DAB2C}">
  <sheetPr codeName="Sheet1"/>
  <dimension ref="E1"/>
  <sheetViews>
    <sheetView showGridLines="0" zoomScale="90" zoomScaleNormal="90" workbookViewId="0">
      <pane xSplit="33" ySplit="40" topLeftCell="AI41" activePane="bottomRight" state="frozen"/>
      <selection pane="topRight" activeCell="AH1" sqref="AH1"/>
      <selection pane="bottomLeft" activeCell="A41" sqref="A41"/>
      <selection pane="bottomRight" activeCell="I39" sqref="I39"/>
    </sheetView>
  </sheetViews>
  <sheetFormatPr defaultColWidth="9.140625" defaultRowHeight="15" x14ac:dyDescent="0.25"/>
  <cols>
    <col min="1" max="2" width="9.140625" style="5"/>
    <col min="3" max="3" width="9.140625" style="5" customWidth="1"/>
    <col min="4" max="4" width="2.7109375" style="5" customWidth="1"/>
    <col min="5" max="5" width="4" style="10" customWidth="1"/>
    <col min="6" max="6" width="2" style="5" customWidth="1"/>
    <col min="7" max="31" width="9.140625" style="5"/>
    <col min="32" max="32" width="0.42578125" style="5" customWidth="1"/>
    <col min="33" max="16384" width="9.140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E1AA-07B8-4552-B6BF-AD46FE85F946}">
  <dimension ref="A3:I36"/>
  <sheetViews>
    <sheetView workbookViewId="0">
      <selection activeCell="H17" sqref="H17"/>
    </sheetView>
  </sheetViews>
  <sheetFormatPr defaultRowHeight="15" x14ac:dyDescent="0.25"/>
  <cols>
    <col min="1" max="1" width="15.28515625" bestFit="1" customWidth="1"/>
    <col min="2" max="2" width="18" bestFit="1" customWidth="1"/>
    <col min="4" max="4" width="15.28515625" bestFit="1" customWidth="1"/>
    <col min="5" max="5" width="18" bestFit="1" customWidth="1"/>
    <col min="8" max="8" width="15.7109375" bestFit="1" customWidth="1"/>
    <col min="9" max="9" width="14.42578125" bestFit="1" customWidth="1"/>
  </cols>
  <sheetData>
    <row r="3" spans="1:9" x14ac:dyDescent="0.25">
      <c r="A3" s="6" t="s">
        <v>861</v>
      </c>
      <c r="B3" t="s">
        <v>901</v>
      </c>
      <c r="D3" s="6" t="s">
        <v>861</v>
      </c>
      <c r="E3" t="s">
        <v>901</v>
      </c>
    </row>
    <row r="4" spans="1:9" x14ac:dyDescent="0.25">
      <c r="A4" s="7" t="s">
        <v>71</v>
      </c>
      <c r="B4" s="15">
        <v>6036524</v>
      </c>
      <c r="D4" s="7" t="s">
        <v>71</v>
      </c>
      <c r="E4" s="15">
        <v>6036524</v>
      </c>
      <c r="H4" s="6" t="s">
        <v>861</v>
      </c>
      <c r="I4" t="s">
        <v>904</v>
      </c>
    </row>
    <row r="5" spans="1:9" x14ac:dyDescent="0.25">
      <c r="A5" s="7" t="s">
        <v>28</v>
      </c>
      <c r="B5" s="15">
        <v>435253</v>
      </c>
      <c r="D5" s="7" t="s">
        <v>28</v>
      </c>
      <c r="E5" s="15">
        <v>435253</v>
      </c>
      <c r="H5" s="7" t="s">
        <v>902</v>
      </c>
      <c r="I5" s="14">
        <v>289</v>
      </c>
    </row>
    <row r="6" spans="1:9" x14ac:dyDescent="0.25">
      <c r="A6" s="7" t="s">
        <v>18</v>
      </c>
      <c r="B6" s="15">
        <v>71023</v>
      </c>
      <c r="D6" s="7" t="s">
        <v>18</v>
      </c>
      <c r="E6" s="15">
        <v>71023</v>
      </c>
      <c r="H6" s="16" t="s">
        <v>905</v>
      </c>
      <c r="I6" s="14">
        <v>1</v>
      </c>
    </row>
    <row r="7" spans="1:9" x14ac:dyDescent="0.25">
      <c r="A7" s="7" t="s">
        <v>864</v>
      </c>
      <c r="B7" s="15">
        <v>6542800</v>
      </c>
      <c r="D7" s="7" t="s">
        <v>864</v>
      </c>
      <c r="E7" s="15">
        <v>6542800</v>
      </c>
      <c r="H7" s="17">
        <v>44991</v>
      </c>
      <c r="I7" s="14">
        <v>1</v>
      </c>
    </row>
    <row r="8" spans="1:9" x14ac:dyDescent="0.25">
      <c r="H8" s="16" t="s">
        <v>906</v>
      </c>
      <c r="I8" s="14">
        <v>2</v>
      </c>
    </row>
    <row r="9" spans="1:9" x14ac:dyDescent="0.25">
      <c r="H9" s="17">
        <v>45052</v>
      </c>
      <c r="I9" s="14">
        <v>1</v>
      </c>
    </row>
    <row r="10" spans="1:9" x14ac:dyDescent="0.25">
      <c r="H10" s="17">
        <v>45066</v>
      </c>
      <c r="I10" s="14">
        <v>1</v>
      </c>
    </row>
    <row r="11" spans="1:9" x14ac:dyDescent="0.25">
      <c r="H11" s="16" t="s">
        <v>907</v>
      </c>
      <c r="I11" s="14">
        <v>7</v>
      </c>
    </row>
    <row r="12" spans="1:9" x14ac:dyDescent="0.25">
      <c r="H12" s="17">
        <v>45078</v>
      </c>
      <c r="I12" s="14">
        <v>1</v>
      </c>
    </row>
    <row r="13" spans="1:9" x14ac:dyDescent="0.25">
      <c r="H13" s="17">
        <v>45089</v>
      </c>
      <c r="I13" s="14">
        <v>2</v>
      </c>
    </row>
    <row r="14" spans="1:9" x14ac:dyDescent="0.25">
      <c r="H14" s="17">
        <v>45092</v>
      </c>
      <c r="I14" s="14">
        <v>1</v>
      </c>
    </row>
    <row r="15" spans="1:9" x14ac:dyDescent="0.25">
      <c r="H15" s="17">
        <v>45097</v>
      </c>
      <c r="I15" s="14">
        <v>2</v>
      </c>
    </row>
    <row r="16" spans="1:9" x14ac:dyDescent="0.25">
      <c r="H16" s="17">
        <v>45098</v>
      </c>
      <c r="I16" s="14">
        <v>1</v>
      </c>
    </row>
    <row r="17" spans="8:9" x14ac:dyDescent="0.25">
      <c r="H17" s="16" t="s">
        <v>908</v>
      </c>
      <c r="I17" s="14">
        <v>12</v>
      </c>
    </row>
    <row r="18" spans="8:9" x14ac:dyDescent="0.25">
      <c r="H18" s="17">
        <v>45108</v>
      </c>
      <c r="I18" s="14">
        <v>1</v>
      </c>
    </row>
    <row r="19" spans="8:9" x14ac:dyDescent="0.25">
      <c r="H19" s="17">
        <v>45117</v>
      </c>
      <c r="I19" s="14">
        <v>10</v>
      </c>
    </row>
    <row r="20" spans="8:9" x14ac:dyDescent="0.25">
      <c r="H20" s="17">
        <v>45118</v>
      </c>
      <c r="I20" s="14">
        <v>1</v>
      </c>
    </row>
    <row r="21" spans="8:9" x14ac:dyDescent="0.25">
      <c r="H21" s="16" t="s">
        <v>909</v>
      </c>
      <c r="I21" s="14">
        <v>2</v>
      </c>
    </row>
    <row r="22" spans="8:9" x14ac:dyDescent="0.25">
      <c r="H22" s="17">
        <v>45143</v>
      </c>
      <c r="I22" s="14">
        <v>2</v>
      </c>
    </row>
    <row r="23" spans="8:9" x14ac:dyDescent="0.25">
      <c r="H23" s="16" t="s">
        <v>910</v>
      </c>
      <c r="I23" s="14">
        <v>1</v>
      </c>
    </row>
    <row r="24" spans="8:9" x14ac:dyDescent="0.25">
      <c r="H24" s="17">
        <v>45176</v>
      </c>
      <c r="I24" s="14">
        <v>1</v>
      </c>
    </row>
    <row r="25" spans="8:9" x14ac:dyDescent="0.25">
      <c r="H25" s="16" t="s">
        <v>911</v>
      </c>
      <c r="I25" s="14">
        <v>2</v>
      </c>
    </row>
    <row r="26" spans="8:9" x14ac:dyDescent="0.25">
      <c r="H26" s="16" t="s">
        <v>912</v>
      </c>
      <c r="I26" s="14">
        <v>262</v>
      </c>
    </row>
    <row r="27" spans="8:9" x14ac:dyDescent="0.25">
      <c r="H27" s="7" t="s">
        <v>903</v>
      </c>
      <c r="I27" s="14">
        <v>120</v>
      </c>
    </row>
    <row r="28" spans="8:9" x14ac:dyDescent="0.25">
      <c r="H28" s="16" t="s">
        <v>913</v>
      </c>
      <c r="I28" s="14">
        <v>74</v>
      </c>
    </row>
    <row r="29" spans="8:9" x14ac:dyDescent="0.25">
      <c r="H29" s="16" t="s">
        <v>914</v>
      </c>
      <c r="I29" s="14">
        <v>43</v>
      </c>
    </row>
    <row r="30" spans="8:9" x14ac:dyDescent="0.25">
      <c r="H30" s="16" t="s">
        <v>905</v>
      </c>
      <c r="I30" s="14">
        <v>1</v>
      </c>
    </row>
    <row r="31" spans="8:9" x14ac:dyDescent="0.25">
      <c r="H31" s="17">
        <v>45355</v>
      </c>
      <c r="I31" s="14">
        <v>1</v>
      </c>
    </row>
    <row r="32" spans="8:9" x14ac:dyDescent="0.25">
      <c r="H32" s="16" t="s">
        <v>915</v>
      </c>
      <c r="I32" s="14">
        <v>1</v>
      </c>
    </row>
    <row r="33" spans="8:9" x14ac:dyDescent="0.25">
      <c r="H33" s="17">
        <v>45399</v>
      </c>
      <c r="I33" s="14">
        <v>1</v>
      </c>
    </row>
    <row r="34" spans="8:9" x14ac:dyDescent="0.25">
      <c r="H34" s="16" t="s">
        <v>906</v>
      </c>
      <c r="I34" s="14">
        <v>1</v>
      </c>
    </row>
    <row r="35" spans="8:9" x14ac:dyDescent="0.25">
      <c r="H35" s="17">
        <v>45414</v>
      </c>
      <c r="I35" s="14">
        <v>1</v>
      </c>
    </row>
    <row r="36" spans="8:9" x14ac:dyDescent="0.25">
      <c r="H36" s="7" t="s">
        <v>864</v>
      </c>
      <c r="I36" s="14">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Q411"/>
  <sheetViews>
    <sheetView showGridLines="0" zoomScaleNormal="100" workbookViewId="0">
      <pane xSplit="7" ySplit="2" topLeftCell="J60" activePane="bottomRight" state="frozen"/>
      <selection pane="topRight" activeCell="H1" sqref="H1"/>
      <selection pane="bottomLeft" activeCell="A3" sqref="A3"/>
      <selection pane="bottomRight" activeCell="B2" sqref="B2"/>
    </sheetView>
  </sheetViews>
  <sheetFormatPr defaultRowHeight="15" x14ac:dyDescent="0.25"/>
  <cols>
    <col min="1" max="1" width="6.28515625" customWidth="1"/>
    <col min="2" max="3" width="8.42578125" style="1" bestFit="1" customWidth="1"/>
    <col min="4" max="4" width="33.28515625" style="2" customWidth="1"/>
    <col min="5" max="5" width="23.7109375" style="2" bestFit="1" customWidth="1"/>
    <col min="6" max="6" width="20.42578125" style="2" customWidth="1"/>
    <col min="7" max="7" width="23" style="2" bestFit="1" customWidth="1"/>
    <col min="8" max="8" width="19.42578125" style="2" bestFit="1" customWidth="1"/>
    <col min="9" max="9" width="24.140625" style="4" bestFit="1" customWidth="1"/>
    <col min="10" max="10" width="16.42578125" style="4" bestFit="1" customWidth="1"/>
    <col min="11" max="11" width="12.5703125" style="2" bestFit="1" customWidth="1"/>
    <col min="12" max="12" width="18.28515625" style="2" bestFit="1" customWidth="1"/>
    <col min="13" max="13" width="16.7109375" style="2" bestFit="1" customWidth="1"/>
    <col min="14" max="14" width="20.140625" style="2" bestFit="1" customWidth="1"/>
    <col min="15" max="15" width="13.7109375" style="2" bestFit="1" customWidth="1"/>
    <col min="16" max="16" width="17.28515625" style="2" customWidth="1"/>
    <col min="17" max="17" width="18" style="8" bestFit="1" customWidth="1"/>
  </cols>
  <sheetData>
    <row r="1" spans="2:17" ht="15.75" customHeight="1" x14ac:dyDescent="0.25"/>
    <row r="2" spans="2:17" ht="24" customHeight="1" x14ac:dyDescent="0.25">
      <c r="B2" s="1" t="s">
        <v>0</v>
      </c>
      <c r="C2" s="1" t="s">
        <v>1</v>
      </c>
      <c r="D2" s="1" t="s">
        <v>2</v>
      </c>
      <c r="E2" s="1" t="s">
        <v>3</v>
      </c>
      <c r="F2" s="1" t="s">
        <v>4</v>
      </c>
      <c r="G2" s="1" t="s">
        <v>5</v>
      </c>
      <c r="H2" s="1" t="s">
        <v>6</v>
      </c>
      <c r="I2" s="3" t="s">
        <v>7</v>
      </c>
      <c r="J2" s="3" t="s">
        <v>8</v>
      </c>
      <c r="K2" s="1" t="s">
        <v>9</v>
      </c>
      <c r="L2" s="1" t="s">
        <v>10</v>
      </c>
      <c r="M2" s="1" t="s">
        <v>11</v>
      </c>
      <c r="N2" s="1" t="s">
        <v>12</v>
      </c>
      <c r="O2" s="1" t="s">
        <v>13</v>
      </c>
      <c r="P2" s="1" t="s">
        <v>865</v>
      </c>
      <c r="Q2" s="9" t="s">
        <v>862</v>
      </c>
    </row>
    <row r="3" spans="2:17" x14ac:dyDescent="0.25">
      <c r="B3" s="1">
        <f>ROW(B1)</f>
        <v>1</v>
      </c>
      <c r="C3" s="1" t="s">
        <v>14</v>
      </c>
      <c r="D3" s="2" t="s">
        <v>15</v>
      </c>
      <c r="E3" s="2" t="s">
        <v>16</v>
      </c>
      <c r="F3" s="2" t="s">
        <v>17</v>
      </c>
      <c r="G3" s="2" t="s">
        <v>18</v>
      </c>
      <c r="H3" s="2" t="s">
        <v>19</v>
      </c>
      <c r="I3" s="4">
        <v>45171</v>
      </c>
      <c r="J3" s="4">
        <v>44991</v>
      </c>
      <c r="K3" s="2" t="s">
        <v>20</v>
      </c>
      <c r="L3" s="2" t="s">
        <v>21</v>
      </c>
      <c r="M3" s="2" t="s">
        <v>22</v>
      </c>
      <c r="N3" s="2" t="s">
        <v>23</v>
      </c>
      <c r="O3" s="2" t="s">
        <v>24</v>
      </c>
      <c r="P3" s="2" t="s">
        <v>863</v>
      </c>
      <c r="Q3" s="9">
        <v>10000</v>
      </c>
    </row>
    <row r="4" spans="2:17" x14ac:dyDescent="0.25">
      <c r="B4" s="1">
        <f t="shared" ref="B4:B66" si="0">ROW(B2)</f>
        <v>2</v>
      </c>
      <c r="C4" s="1" t="s">
        <v>25</v>
      </c>
      <c r="D4" s="2" t="s">
        <v>26</v>
      </c>
      <c r="E4" s="2" t="s">
        <v>27</v>
      </c>
      <c r="F4" s="2" t="s">
        <v>17</v>
      </c>
      <c r="G4" s="2" t="s">
        <v>28</v>
      </c>
      <c r="H4" s="2" t="s">
        <v>29</v>
      </c>
      <c r="I4" s="4">
        <v>45232</v>
      </c>
      <c r="J4" s="4">
        <v>45052</v>
      </c>
      <c r="K4" s="2" t="s">
        <v>20</v>
      </c>
      <c r="L4" s="2" t="s">
        <v>21</v>
      </c>
      <c r="M4" s="2" t="s">
        <v>30</v>
      </c>
      <c r="N4" s="2" t="s">
        <v>23</v>
      </c>
      <c r="O4" s="2" t="s">
        <v>24</v>
      </c>
      <c r="P4" s="2" t="s">
        <v>866</v>
      </c>
      <c r="Q4" s="9">
        <v>2500</v>
      </c>
    </row>
    <row r="5" spans="2:17" x14ac:dyDescent="0.25">
      <c r="B5" s="1">
        <f t="shared" si="0"/>
        <v>3</v>
      </c>
      <c r="C5" s="1" t="s">
        <v>31</v>
      </c>
      <c r="D5" s="2" t="s">
        <v>32</v>
      </c>
      <c r="E5" s="2" t="s">
        <v>33</v>
      </c>
      <c r="F5" s="2" t="s">
        <v>17</v>
      </c>
      <c r="G5" s="2" t="s">
        <v>18</v>
      </c>
      <c r="H5" s="2" t="s">
        <v>19</v>
      </c>
      <c r="I5" s="4">
        <v>45246</v>
      </c>
      <c r="J5" s="4">
        <v>45066</v>
      </c>
      <c r="K5" s="2" t="s">
        <v>20</v>
      </c>
      <c r="L5" s="2" t="s">
        <v>34</v>
      </c>
      <c r="M5" s="2" t="s">
        <v>35</v>
      </c>
      <c r="N5" s="2" t="s">
        <v>36</v>
      </c>
      <c r="O5" s="2" t="s">
        <v>37</v>
      </c>
      <c r="P5" s="2" t="s">
        <v>867</v>
      </c>
      <c r="Q5" s="9">
        <v>500</v>
      </c>
    </row>
    <row r="6" spans="2:17" x14ac:dyDescent="0.25">
      <c r="B6" s="1">
        <f t="shared" si="0"/>
        <v>4</v>
      </c>
      <c r="C6" s="1" t="s">
        <v>38</v>
      </c>
      <c r="D6" s="2" t="s">
        <v>39</v>
      </c>
      <c r="E6" s="2" t="s">
        <v>40</v>
      </c>
      <c r="F6" s="2" t="s">
        <v>41</v>
      </c>
      <c r="G6" s="2" t="s">
        <v>28</v>
      </c>
      <c r="H6" s="2" t="s">
        <v>19</v>
      </c>
      <c r="I6" s="4">
        <v>45258</v>
      </c>
      <c r="J6" s="4">
        <v>45078</v>
      </c>
      <c r="K6" s="2" t="s">
        <v>20</v>
      </c>
      <c r="L6" s="2" t="s">
        <v>34</v>
      </c>
      <c r="M6" s="2" t="s">
        <v>30</v>
      </c>
      <c r="N6" s="2" t="s">
        <v>42</v>
      </c>
      <c r="O6" s="2" t="s">
        <v>43</v>
      </c>
      <c r="P6" s="2" t="s">
        <v>863</v>
      </c>
      <c r="Q6" s="9">
        <v>10000</v>
      </c>
    </row>
    <row r="7" spans="2:17" x14ac:dyDescent="0.25">
      <c r="B7" s="1">
        <f t="shared" si="0"/>
        <v>5</v>
      </c>
      <c r="C7" s="1" t="s">
        <v>44</v>
      </c>
      <c r="D7" s="2" t="s">
        <v>45</v>
      </c>
      <c r="E7" s="2" t="s">
        <v>33</v>
      </c>
      <c r="F7" s="2" t="s">
        <v>17</v>
      </c>
      <c r="G7" s="2" t="s">
        <v>28</v>
      </c>
      <c r="H7" s="2" t="s">
        <v>29</v>
      </c>
      <c r="I7" s="4">
        <v>45269</v>
      </c>
      <c r="J7" s="4">
        <v>45089</v>
      </c>
      <c r="K7" s="2" t="s">
        <v>20</v>
      </c>
      <c r="L7" s="2" t="s">
        <v>21</v>
      </c>
      <c r="M7" s="2" t="s">
        <v>35</v>
      </c>
      <c r="N7" s="2" t="s">
        <v>46</v>
      </c>
      <c r="O7" s="2" t="s">
        <v>47</v>
      </c>
      <c r="P7" s="2" t="s">
        <v>863</v>
      </c>
      <c r="Q7" s="9">
        <v>10000</v>
      </c>
    </row>
    <row r="8" spans="2:17" x14ac:dyDescent="0.25">
      <c r="B8" s="1">
        <f t="shared" si="0"/>
        <v>6</v>
      </c>
      <c r="C8" s="1" t="s">
        <v>48</v>
      </c>
      <c r="D8" s="2" t="s">
        <v>49</v>
      </c>
      <c r="E8" s="2" t="s">
        <v>40</v>
      </c>
      <c r="F8" s="2" t="s">
        <v>17</v>
      </c>
      <c r="G8" s="2" t="s">
        <v>28</v>
      </c>
      <c r="H8" s="2" t="s">
        <v>19</v>
      </c>
      <c r="I8" s="4">
        <v>45269</v>
      </c>
      <c r="J8" s="4">
        <v>45089</v>
      </c>
      <c r="K8" s="2" t="s">
        <v>20</v>
      </c>
      <c r="L8" s="2" t="s">
        <v>21</v>
      </c>
      <c r="M8" s="2" t="s">
        <v>22</v>
      </c>
      <c r="N8" s="2" t="s">
        <v>23</v>
      </c>
      <c r="O8" s="2" t="s">
        <v>24</v>
      </c>
      <c r="P8" s="2" t="s">
        <v>863</v>
      </c>
      <c r="Q8" s="9">
        <v>10000</v>
      </c>
    </row>
    <row r="9" spans="2:17" x14ac:dyDescent="0.25">
      <c r="B9" s="1">
        <f t="shared" si="0"/>
        <v>7</v>
      </c>
      <c r="C9" s="1" t="s">
        <v>50</v>
      </c>
      <c r="D9" s="2" t="s">
        <v>51</v>
      </c>
      <c r="E9" s="2" t="s">
        <v>33</v>
      </c>
      <c r="F9" s="2" t="s">
        <v>17</v>
      </c>
      <c r="G9" s="2" t="s">
        <v>28</v>
      </c>
      <c r="H9" s="2" t="s">
        <v>19</v>
      </c>
      <c r="I9" s="4">
        <v>45272</v>
      </c>
      <c r="J9" s="4">
        <v>45092</v>
      </c>
      <c r="K9" s="2" t="s">
        <v>20</v>
      </c>
      <c r="L9" s="2" t="s">
        <v>34</v>
      </c>
      <c r="M9" s="2" t="s">
        <v>35</v>
      </c>
      <c r="N9" s="2" t="s">
        <v>23</v>
      </c>
      <c r="O9" s="2" t="s">
        <v>24</v>
      </c>
      <c r="P9" s="2" t="s">
        <v>863</v>
      </c>
      <c r="Q9" s="9">
        <v>10000</v>
      </c>
    </row>
    <row r="10" spans="2:17" x14ac:dyDescent="0.25">
      <c r="B10" s="1">
        <f t="shared" si="0"/>
        <v>8</v>
      </c>
      <c r="C10" s="1" t="s">
        <v>52</v>
      </c>
      <c r="D10" s="2" t="s">
        <v>53</v>
      </c>
      <c r="E10" s="2" t="s">
        <v>40</v>
      </c>
      <c r="F10" s="2" t="s">
        <v>17</v>
      </c>
      <c r="G10" s="2" t="s">
        <v>18</v>
      </c>
      <c r="H10" s="2" t="s">
        <v>19</v>
      </c>
      <c r="I10" s="4">
        <v>45277</v>
      </c>
      <c r="J10" s="4">
        <v>45097</v>
      </c>
      <c r="K10" s="2" t="s">
        <v>20</v>
      </c>
      <c r="L10" s="2" t="s">
        <v>21</v>
      </c>
      <c r="M10" s="2" t="s">
        <v>54</v>
      </c>
      <c r="N10" s="2" t="s">
        <v>23</v>
      </c>
      <c r="O10" s="2" t="s">
        <v>24</v>
      </c>
      <c r="P10" s="2" t="s">
        <v>863</v>
      </c>
      <c r="Q10" s="9">
        <v>523</v>
      </c>
    </row>
    <row r="11" spans="2:17" x14ac:dyDescent="0.25">
      <c r="B11" s="1">
        <f t="shared" si="0"/>
        <v>9</v>
      </c>
      <c r="C11" s="1" t="s">
        <v>55</v>
      </c>
      <c r="D11" s="2" t="s">
        <v>56</v>
      </c>
      <c r="E11" s="2" t="s">
        <v>40</v>
      </c>
      <c r="F11" s="2" t="s">
        <v>17</v>
      </c>
      <c r="G11" s="2" t="s">
        <v>28</v>
      </c>
      <c r="H11" s="2" t="s">
        <v>19</v>
      </c>
      <c r="I11" s="4">
        <v>45277</v>
      </c>
      <c r="J11" s="4">
        <v>45097</v>
      </c>
      <c r="K11" s="2" t="s">
        <v>20</v>
      </c>
      <c r="L11" s="2" t="s">
        <v>21</v>
      </c>
      <c r="M11" s="2" t="s">
        <v>30</v>
      </c>
      <c r="N11" s="2" t="s">
        <v>23</v>
      </c>
      <c r="O11" s="2" t="s">
        <v>24</v>
      </c>
      <c r="P11" s="2" t="s">
        <v>863</v>
      </c>
      <c r="Q11" s="9">
        <v>10000</v>
      </c>
    </row>
    <row r="12" spans="2:17" x14ac:dyDescent="0.25">
      <c r="B12" s="1">
        <f t="shared" si="0"/>
        <v>10</v>
      </c>
      <c r="C12" s="1" t="s">
        <v>57</v>
      </c>
      <c r="D12" s="2" t="s">
        <v>58</v>
      </c>
      <c r="E12" s="2" t="s">
        <v>33</v>
      </c>
      <c r="F12" s="2" t="s">
        <v>17</v>
      </c>
      <c r="G12" s="2" t="s">
        <v>28</v>
      </c>
      <c r="H12" s="2" t="s">
        <v>19</v>
      </c>
      <c r="I12" s="4">
        <v>45278</v>
      </c>
      <c r="J12" s="4">
        <v>45098</v>
      </c>
      <c r="K12" s="2" t="s">
        <v>20</v>
      </c>
      <c r="L12" s="2" t="s">
        <v>34</v>
      </c>
      <c r="M12" s="2" t="s">
        <v>35</v>
      </c>
      <c r="N12" s="2" t="s">
        <v>23</v>
      </c>
      <c r="O12" s="2" t="s">
        <v>24</v>
      </c>
      <c r="P12" s="2" t="s">
        <v>863</v>
      </c>
      <c r="Q12" s="9">
        <v>216363</v>
      </c>
    </row>
    <row r="13" spans="2:17" x14ac:dyDescent="0.25">
      <c r="B13" s="1">
        <f t="shared" si="0"/>
        <v>11</v>
      </c>
      <c r="C13" s="1" t="s">
        <v>59</v>
      </c>
      <c r="D13" s="2" t="s">
        <v>60</v>
      </c>
      <c r="E13" s="2" t="s">
        <v>33</v>
      </c>
      <c r="F13" s="2" t="s">
        <v>17</v>
      </c>
      <c r="G13" s="2" t="s">
        <v>18</v>
      </c>
      <c r="H13" s="2" t="s">
        <v>19</v>
      </c>
      <c r="I13" s="4">
        <v>45288</v>
      </c>
      <c r="J13" s="4">
        <v>45108</v>
      </c>
      <c r="K13" s="2" t="s">
        <v>20</v>
      </c>
      <c r="L13" s="2" t="s">
        <v>34</v>
      </c>
      <c r="M13" s="2" t="s">
        <v>35</v>
      </c>
      <c r="N13" s="2" t="s">
        <v>42</v>
      </c>
      <c r="O13" s="2" t="s">
        <v>43</v>
      </c>
      <c r="P13" s="2" t="s">
        <v>863</v>
      </c>
      <c r="Q13" s="9">
        <v>10000</v>
      </c>
    </row>
    <row r="14" spans="2:17" x14ac:dyDescent="0.25">
      <c r="B14" s="1">
        <f t="shared" si="0"/>
        <v>12</v>
      </c>
      <c r="C14" s="1" t="s">
        <v>61</v>
      </c>
      <c r="D14" s="2" t="s">
        <v>62</v>
      </c>
      <c r="E14" s="2" t="s">
        <v>33</v>
      </c>
      <c r="F14" s="2" t="s">
        <v>17</v>
      </c>
      <c r="G14" s="2" t="s">
        <v>28</v>
      </c>
      <c r="H14" s="2" t="s">
        <v>19</v>
      </c>
      <c r="I14" s="4">
        <v>45297</v>
      </c>
      <c r="J14" s="4">
        <v>45117</v>
      </c>
      <c r="K14" s="2" t="s">
        <v>20</v>
      </c>
      <c r="L14" s="2" t="s">
        <v>34</v>
      </c>
      <c r="M14" s="2" t="s">
        <v>54</v>
      </c>
      <c r="N14" s="2" t="s">
        <v>23</v>
      </c>
      <c r="O14" s="2" t="s">
        <v>24</v>
      </c>
      <c r="P14" s="2" t="s">
        <v>863</v>
      </c>
      <c r="Q14" s="9">
        <v>10000</v>
      </c>
    </row>
    <row r="15" spans="2:17" x14ac:dyDescent="0.25">
      <c r="B15" s="1">
        <f t="shared" si="0"/>
        <v>13</v>
      </c>
      <c r="C15" s="1" t="s">
        <v>63</v>
      </c>
      <c r="D15" s="2" t="s">
        <v>64</v>
      </c>
      <c r="E15" s="2" t="s">
        <v>40</v>
      </c>
      <c r="F15" s="2" t="s">
        <v>17</v>
      </c>
      <c r="G15" s="2" t="s">
        <v>28</v>
      </c>
      <c r="H15" s="2" t="s">
        <v>19</v>
      </c>
      <c r="I15" s="4">
        <v>45297</v>
      </c>
      <c r="J15" s="4">
        <v>45117</v>
      </c>
      <c r="K15" s="2" t="s">
        <v>20</v>
      </c>
      <c r="L15" s="2" t="s">
        <v>34</v>
      </c>
      <c r="M15" s="2" t="s">
        <v>22</v>
      </c>
      <c r="N15" s="2" t="s">
        <v>65</v>
      </c>
      <c r="O15" s="2" t="s">
        <v>37</v>
      </c>
      <c r="P15" s="2" t="s">
        <v>863</v>
      </c>
      <c r="Q15" s="9">
        <v>525</v>
      </c>
    </row>
    <row r="16" spans="2:17" x14ac:dyDescent="0.25">
      <c r="B16" s="1">
        <f t="shared" si="0"/>
        <v>14</v>
      </c>
      <c r="C16" s="1" t="s">
        <v>66</v>
      </c>
      <c r="D16" s="2" t="s">
        <v>67</v>
      </c>
      <c r="E16" s="2" t="s">
        <v>40</v>
      </c>
      <c r="F16" s="2" t="s">
        <v>17</v>
      </c>
      <c r="G16" s="2" t="s">
        <v>28</v>
      </c>
      <c r="H16" s="2" t="s">
        <v>29</v>
      </c>
      <c r="I16" s="4">
        <v>45297</v>
      </c>
      <c r="J16" s="4">
        <v>45117</v>
      </c>
      <c r="K16" s="2" t="s">
        <v>20</v>
      </c>
      <c r="L16" s="2" t="s">
        <v>34</v>
      </c>
      <c r="M16" s="2" t="s">
        <v>68</v>
      </c>
      <c r="N16" s="2" t="s">
        <v>23</v>
      </c>
      <c r="O16" s="2" t="s">
        <v>24</v>
      </c>
      <c r="P16" s="2" t="s">
        <v>863</v>
      </c>
      <c r="Q16" s="9">
        <v>10000</v>
      </c>
    </row>
    <row r="17" spans="2:17" x14ac:dyDescent="0.25">
      <c r="B17" s="1">
        <f t="shared" si="0"/>
        <v>15</v>
      </c>
      <c r="C17" s="1" t="s">
        <v>69</v>
      </c>
      <c r="D17" s="2" t="s">
        <v>70</v>
      </c>
      <c r="E17" s="2" t="s">
        <v>33</v>
      </c>
      <c r="F17" s="2" t="s">
        <v>17</v>
      </c>
      <c r="G17" s="2" t="s">
        <v>71</v>
      </c>
      <c r="H17" s="2" t="s">
        <v>19</v>
      </c>
      <c r="I17" s="4">
        <v>45297</v>
      </c>
      <c r="J17" s="4">
        <v>45117</v>
      </c>
      <c r="K17" s="2" t="s">
        <v>20</v>
      </c>
      <c r="L17" s="2" t="s">
        <v>21</v>
      </c>
      <c r="M17" s="2" t="s">
        <v>22</v>
      </c>
      <c r="N17" s="2" t="s">
        <v>23</v>
      </c>
      <c r="O17" s="2" t="s">
        <v>24</v>
      </c>
      <c r="P17" s="2" t="s">
        <v>863</v>
      </c>
      <c r="Q17" s="9">
        <v>15265</v>
      </c>
    </row>
    <row r="18" spans="2:17" x14ac:dyDescent="0.25">
      <c r="B18" s="1">
        <f t="shared" si="0"/>
        <v>16</v>
      </c>
      <c r="C18" s="1" t="s">
        <v>72</v>
      </c>
      <c r="D18" s="2" t="s">
        <v>73</v>
      </c>
      <c r="E18" s="2" t="s">
        <v>16</v>
      </c>
      <c r="F18" s="2" t="s">
        <v>17</v>
      </c>
      <c r="G18" s="2" t="s">
        <v>28</v>
      </c>
      <c r="H18" s="2" t="s">
        <v>19</v>
      </c>
      <c r="I18" s="4">
        <v>45297</v>
      </c>
      <c r="J18" s="4">
        <v>45117</v>
      </c>
      <c r="K18" s="2" t="s">
        <v>20</v>
      </c>
      <c r="L18" s="2" t="s">
        <v>34</v>
      </c>
      <c r="M18" s="2" t="s">
        <v>35</v>
      </c>
      <c r="N18" s="2" t="s">
        <v>23</v>
      </c>
      <c r="O18" s="2" t="s">
        <v>24</v>
      </c>
      <c r="P18" s="2" t="s">
        <v>863</v>
      </c>
      <c r="Q18" s="9">
        <v>10000</v>
      </c>
    </row>
    <row r="19" spans="2:17" x14ac:dyDescent="0.25">
      <c r="B19" s="1">
        <f t="shared" si="0"/>
        <v>17</v>
      </c>
      <c r="C19" s="1" t="s">
        <v>74</v>
      </c>
      <c r="D19" s="2" t="s">
        <v>75</v>
      </c>
      <c r="E19" s="2" t="s">
        <v>76</v>
      </c>
      <c r="F19" s="2" t="s">
        <v>17</v>
      </c>
      <c r="G19" s="2" t="s">
        <v>71</v>
      </c>
      <c r="H19" s="2" t="s">
        <v>19</v>
      </c>
      <c r="I19" s="4">
        <v>45297</v>
      </c>
      <c r="J19" s="4">
        <v>45117</v>
      </c>
      <c r="K19" s="2" t="s">
        <v>77</v>
      </c>
      <c r="L19" s="2" t="s">
        <v>34</v>
      </c>
      <c r="M19" s="2" t="s">
        <v>35</v>
      </c>
      <c r="N19" s="2" t="s">
        <v>23</v>
      </c>
      <c r="O19" s="2" t="s">
        <v>24</v>
      </c>
      <c r="P19" s="2" t="s">
        <v>863</v>
      </c>
      <c r="Q19" s="9">
        <v>56</v>
      </c>
    </row>
    <row r="20" spans="2:17" x14ac:dyDescent="0.25">
      <c r="B20" s="1">
        <f t="shared" si="0"/>
        <v>18</v>
      </c>
      <c r="C20" s="1" t="s">
        <v>78</v>
      </c>
      <c r="D20" s="2" t="s">
        <v>79</v>
      </c>
      <c r="E20" s="2" t="s">
        <v>16</v>
      </c>
      <c r="F20" s="2" t="s">
        <v>17</v>
      </c>
      <c r="G20" s="2" t="s">
        <v>28</v>
      </c>
      <c r="H20" s="2" t="s">
        <v>19</v>
      </c>
      <c r="I20" s="4">
        <v>45297</v>
      </c>
      <c r="J20" s="4">
        <v>45117</v>
      </c>
      <c r="K20" s="2" t="s">
        <v>20</v>
      </c>
      <c r="L20" s="2" t="s">
        <v>34</v>
      </c>
      <c r="M20" s="2" t="s">
        <v>22</v>
      </c>
      <c r="N20" s="2" t="s">
        <v>23</v>
      </c>
      <c r="O20" s="2" t="s">
        <v>24</v>
      </c>
      <c r="P20" s="2" t="s">
        <v>863</v>
      </c>
      <c r="Q20" s="9">
        <v>10000</v>
      </c>
    </row>
    <row r="21" spans="2:17" x14ac:dyDescent="0.25">
      <c r="B21" s="1">
        <f t="shared" si="0"/>
        <v>19</v>
      </c>
      <c r="C21" s="1" t="s">
        <v>80</v>
      </c>
      <c r="D21" s="2" t="s">
        <v>81</v>
      </c>
      <c r="E21" s="2" t="s">
        <v>27</v>
      </c>
      <c r="F21" s="2" t="s">
        <v>17</v>
      </c>
      <c r="G21" s="2" t="s">
        <v>28</v>
      </c>
      <c r="H21" s="2" t="s">
        <v>19</v>
      </c>
      <c r="I21" s="4">
        <v>45297</v>
      </c>
      <c r="J21" s="4">
        <v>45117</v>
      </c>
      <c r="K21" s="2" t="s">
        <v>20</v>
      </c>
      <c r="L21" s="2" t="s">
        <v>21</v>
      </c>
      <c r="M21" s="2" t="s">
        <v>54</v>
      </c>
      <c r="N21" s="2" t="s">
        <v>23</v>
      </c>
      <c r="O21" s="2" t="s">
        <v>24</v>
      </c>
      <c r="P21" s="2" t="s">
        <v>863</v>
      </c>
      <c r="Q21" s="9">
        <v>10000</v>
      </c>
    </row>
    <row r="22" spans="2:17" x14ac:dyDescent="0.25">
      <c r="B22" s="1">
        <f t="shared" si="0"/>
        <v>20</v>
      </c>
      <c r="C22" s="1" t="s">
        <v>82</v>
      </c>
      <c r="D22" s="2" t="s">
        <v>83</v>
      </c>
      <c r="E22" s="2" t="s">
        <v>33</v>
      </c>
      <c r="F22" s="2" t="s">
        <v>17</v>
      </c>
      <c r="G22" s="2" t="s">
        <v>71</v>
      </c>
      <c r="H22" s="2" t="s">
        <v>19</v>
      </c>
      <c r="I22" s="4">
        <v>45297</v>
      </c>
      <c r="J22" s="4">
        <v>45117</v>
      </c>
      <c r="K22" s="2" t="s">
        <v>20</v>
      </c>
      <c r="L22" s="2" t="s">
        <v>21</v>
      </c>
      <c r="M22" s="2" t="s">
        <v>35</v>
      </c>
      <c r="N22" s="2" t="s">
        <v>23</v>
      </c>
      <c r="O22" s="2" t="s">
        <v>24</v>
      </c>
      <c r="P22" s="2" t="s">
        <v>863</v>
      </c>
      <c r="Q22" s="9">
        <v>1662</v>
      </c>
    </row>
    <row r="23" spans="2:17" x14ac:dyDescent="0.25">
      <c r="B23" s="1">
        <f t="shared" si="0"/>
        <v>21</v>
      </c>
      <c r="C23" s="1" t="s">
        <v>84</v>
      </c>
      <c r="D23" s="2" t="s">
        <v>85</v>
      </c>
      <c r="E23" s="2" t="s">
        <v>40</v>
      </c>
      <c r="F23" s="2" t="s">
        <v>17</v>
      </c>
      <c r="G23" s="2" t="s">
        <v>71</v>
      </c>
      <c r="H23" s="2" t="s">
        <v>19</v>
      </c>
      <c r="I23" s="4">
        <v>45297</v>
      </c>
      <c r="J23" s="4">
        <v>45117</v>
      </c>
      <c r="K23" s="2" t="s">
        <v>20</v>
      </c>
      <c r="L23" s="2" t="s">
        <v>21</v>
      </c>
      <c r="M23" s="2" t="s">
        <v>35</v>
      </c>
      <c r="N23" s="2" t="s">
        <v>23</v>
      </c>
      <c r="O23" s="2" t="s">
        <v>24</v>
      </c>
      <c r="P23" s="2" t="s">
        <v>863</v>
      </c>
      <c r="Q23" s="9">
        <v>10000</v>
      </c>
    </row>
    <row r="24" spans="2:17" x14ac:dyDescent="0.25">
      <c r="B24" s="1">
        <f t="shared" si="0"/>
        <v>22</v>
      </c>
      <c r="C24" s="1" t="s">
        <v>86</v>
      </c>
      <c r="D24" s="2" t="s">
        <v>87</v>
      </c>
      <c r="E24" s="2" t="s">
        <v>33</v>
      </c>
      <c r="F24" s="2" t="s">
        <v>17</v>
      </c>
      <c r="G24" s="2" t="s">
        <v>71</v>
      </c>
      <c r="H24" s="2" t="s">
        <v>19</v>
      </c>
      <c r="I24" s="4">
        <v>45298</v>
      </c>
      <c r="J24" s="4">
        <v>45118</v>
      </c>
      <c r="K24" s="2" t="s">
        <v>20</v>
      </c>
      <c r="L24" s="2" t="s">
        <v>21</v>
      </c>
      <c r="M24" s="2" t="s">
        <v>35</v>
      </c>
      <c r="N24" s="2" t="s">
        <v>23</v>
      </c>
      <c r="O24" s="2" t="s">
        <v>24</v>
      </c>
      <c r="P24" s="2" t="s">
        <v>863</v>
      </c>
      <c r="Q24" s="9">
        <v>10000</v>
      </c>
    </row>
    <row r="25" spans="2:17" x14ac:dyDescent="0.25">
      <c r="B25" s="1">
        <f t="shared" si="0"/>
        <v>23</v>
      </c>
      <c r="C25" s="1" t="s">
        <v>88</v>
      </c>
      <c r="D25" s="2" t="s">
        <v>89</v>
      </c>
      <c r="E25" s="2" t="s">
        <v>40</v>
      </c>
      <c r="F25" s="2" t="s">
        <v>17</v>
      </c>
      <c r="G25" s="2" t="s">
        <v>28</v>
      </c>
      <c r="H25" s="2" t="s">
        <v>19</v>
      </c>
      <c r="I25" s="4">
        <v>45323</v>
      </c>
      <c r="J25" s="4">
        <v>45143</v>
      </c>
      <c r="K25" s="2" t="s">
        <v>20</v>
      </c>
      <c r="L25" s="2" t="s">
        <v>34</v>
      </c>
      <c r="M25" s="2" t="s">
        <v>35</v>
      </c>
      <c r="N25" s="2" t="s">
        <v>23</v>
      </c>
      <c r="O25" s="2" t="s">
        <v>24</v>
      </c>
      <c r="P25" s="2" t="s">
        <v>863</v>
      </c>
      <c r="Q25" s="9">
        <v>6232</v>
      </c>
    </row>
    <row r="26" spans="2:17" x14ac:dyDescent="0.25">
      <c r="B26" s="1">
        <f t="shared" si="0"/>
        <v>24</v>
      </c>
      <c r="C26" s="1" t="s">
        <v>90</v>
      </c>
      <c r="D26" s="2" t="s">
        <v>91</v>
      </c>
      <c r="E26" s="2" t="s">
        <v>40</v>
      </c>
      <c r="F26" s="2" t="s">
        <v>17</v>
      </c>
      <c r="G26" s="2" t="s">
        <v>28</v>
      </c>
      <c r="H26" s="2" t="s">
        <v>19</v>
      </c>
      <c r="I26" s="4">
        <v>45323</v>
      </c>
      <c r="J26" s="4">
        <v>45143</v>
      </c>
      <c r="K26" s="2" t="s">
        <v>20</v>
      </c>
      <c r="L26" s="2" t="s">
        <v>34</v>
      </c>
      <c r="M26" s="2" t="s">
        <v>30</v>
      </c>
      <c r="N26" s="2" t="s">
        <v>92</v>
      </c>
      <c r="O26" s="2" t="s">
        <v>43</v>
      </c>
      <c r="P26" s="2" t="s">
        <v>863</v>
      </c>
      <c r="Q26" s="9">
        <v>10000</v>
      </c>
    </row>
    <row r="27" spans="2:17" x14ac:dyDescent="0.25">
      <c r="B27" s="1">
        <f t="shared" si="0"/>
        <v>25</v>
      </c>
      <c r="C27" s="1" t="s">
        <v>93</v>
      </c>
      <c r="D27" s="2" t="s">
        <v>94</v>
      </c>
      <c r="E27" s="2" t="s">
        <v>40</v>
      </c>
      <c r="F27" s="2" t="s">
        <v>17</v>
      </c>
      <c r="G27" s="2" t="s">
        <v>28</v>
      </c>
      <c r="H27" s="2" t="s">
        <v>19</v>
      </c>
      <c r="I27" s="4">
        <v>45356</v>
      </c>
      <c r="J27" s="4">
        <v>45176</v>
      </c>
      <c r="K27" s="2" t="s">
        <v>20</v>
      </c>
      <c r="L27" s="2" t="s">
        <v>34</v>
      </c>
      <c r="M27" s="2" t="s">
        <v>22</v>
      </c>
      <c r="N27" s="2" t="s">
        <v>23</v>
      </c>
      <c r="O27" s="2" t="s">
        <v>24</v>
      </c>
      <c r="P27" s="2" t="s">
        <v>863</v>
      </c>
      <c r="Q27" s="9">
        <v>10000</v>
      </c>
    </row>
    <row r="28" spans="2:17" x14ac:dyDescent="0.25">
      <c r="B28" s="1">
        <f t="shared" si="0"/>
        <v>26</v>
      </c>
      <c r="C28" s="1" t="s">
        <v>95</v>
      </c>
      <c r="D28" s="2" t="s">
        <v>96</v>
      </c>
      <c r="E28" s="2" t="s">
        <v>16</v>
      </c>
      <c r="F28" s="2" t="s">
        <v>17</v>
      </c>
      <c r="G28" s="2" t="s">
        <v>28</v>
      </c>
      <c r="H28" s="2" t="s">
        <v>29</v>
      </c>
      <c r="I28" s="4">
        <v>45430</v>
      </c>
      <c r="J28" s="4">
        <v>45250</v>
      </c>
      <c r="K28" s="2" t="s">
        <v>20</v>
      </c>
      <c r="L28" s="2" t="s">
        <v>34</v>
      </c>
      <c r="M28" s="2" t="s">
        <v>35</v>
      </c>
      <c r="N28" s="2" t="s">
        <v>97</v>
      </c>
      <c r="O28" s="2" t="s">
        <v>98</v>
      </c>
      <c r="P28" s="2" t="s">
        <v>863</v>
      </c>
      <c r="Q28" s="9">
        <v>21633</v>
      </c>
    </row>
    <row r="29" spans="2:17" x14ac:dyDescent="0.25">
      <c r="B29" s="1">
        <f t="shared" si="0"/>
        <v>27</v>
      </c>
      <c r="C29" s="1" t="s">
        <v>99</v>
      </c>
      <c r="D29" s="2" t="s">
        <v>100</v>
      </c>
      <c r="E29" s="2" t="s">
        <v>33</v>
      </c>
      <c r="F29" s="2" t="s">
        <v>17</v>
      </c>
      <c r="G29" s="2" t="s">
        <v>28</v>
      </c>
      <c r="H29" s="2" t="s">
        <v>29</v>
      </c>
      <c r="I29" s="4">
        <v>45430</v>
      </c>
      <c r="J29" s="4">
        <v>45250</v>
      </c>
      <c r="K29" s="2" t="s">
        <v>20</v>
      </c>
      <c r="L29" s="2" t="s">
        <v>34</v>
      </c>
      <c r="M29" s="2" t="s">
        <v>35</v>
      </c>
      <c r="N29" s="2" t="s">
        <v>65</v>
      </c>
      <c r="O29" s="2" t="s">
        <v>37</v>
      </c>
      <c r="P29" s="2" t="s">
        <v>863</v>
      </c>
      <c r="Q29" s="9">
        <v>10000</v>
      </c>
    </row>
    <row r="30" spans="2:17" x14ac:dyDescent="0.25">
      <c r="B30" s="1">
        <f t="shared" si="0"/>
        <v>28</v>
      </c>
      <c r="C30" s="1" t="s">
        <v>101</v>
      </c>
      <c r="D30" s="2" t="s">
        <v>102</v>
      </c>
      <c r="E30" s="2" t="s">
        <v>40</v>
      </c>
      <c r="F30" s="2" t="s">
        <v>17</v>
      </c>
      <c r="G30" s="2" t="s">
        <v>18</v>
      </c>
      <c r="H30" s="2" t="s">
        <v>29</v>
      </c>
      <c r="I30" s="4">
        <v>45442</v>
      </c>
      <c r="J30" s="4">
        <v>45262</v>
      </c>
      <c r="K30" s="2" t="s">
        <v>20</v>
      </c>
      <c r="L30" s="2" t="s">
        <v>34</v>
      </c>
      <c r="M30" s="2" t="s">
        <v>54</v>
      </c>
      <c r="N30" s="2" t="s">
        <v>42</v>
      </c>
      <c r="O30" s="2" t="s">
        <v>43</v>
      </c>
      <c r="P30" s="2" t="s">
        <v>863</v>
      </c>
      <c r="Q30" s="9">
        <v>10000</v>
      </c>
    </row>
    <row r="31" spans="2:17" x14ac:dyDescent="0.25">
      <c r="B31" s="1">
        <f t="shared" si="0"/>
        <v>29</v>
      </c>
      <c r="C31" s="1" t="s">
        <v>103</v>
      </c>
      <c r="D31" s="2" t="s">
        <v>104</v>
      </c>
      <c r="E31" s="2" t="s">
        <v>40</v>
      </c>
      <c r="F31" s="2" t="s">
        <v>17</v>
      </c>
      <c r="G31" s="2" t="s">
        <v>28</v>
      </c>
      <c r="H31" s="2" t="s">
        <v>29</v>
      </c>
      <c r="I31" s="4">
        <v>45449</v>
      </c>
      <c r="J31" s="4">
        <v>45269</v>
      </c>
      <c r="K31" s="2" t="s">
        <v>20</v>
      </c>
      <c r="L31" s="2" t="s">
        <v>21</v>
      </c>
      <c r="M31" s="2" t="s">
        <v>30</v>
      </c>
      <c r="N31" s="2" t="s">
        <v>23</v>
      </c>
      <c r="O31" s="2" t="s">
        <v>24</v>
      </c>
      <c r="P31" s="2" t="s">
        <v>863</v>
      </c>
      <c r="Q31" s="9">
        <v>5000</v>
      </c>
    </row>
    <row r="32" spans="2:17" x14ac:dyDescent="0.25">
      <c r="B32" s="1">
        <f t="shared" si="0"/>
        <v>30</v>
      </c>
      <c r="C32" s="1" t="s">
        <v>105</v>
      </c>
      <c r="D32" s="2" t="s">
        <v>106</v>
      </c>
      <c r="E32" s="2" t="s">
        <v>33</v>
      </c>
      <c r="F32" s="2" t="s">
        <v>17</v>
      </c>
      <c r="G32" s="2" t="s">
        <v>18</v>
      </c>
      <c r="H32" s="2" t="s">
        <v>29</v>
      </c>
      <c r="I32" s="4">
        <v>45450</v>
      </c>
      <c r="J32" s="4">
        <v>45270</v>
      </c>
      <c r="K32" s="2" t="s">
        <v>20</v>
      </c>
      <c r="L32" s="2" t="s">
        <v>21</v>
      </c>
      <c r="M32" s="2" t="s">
        <v>22</v>
      </c>
      <c r="N32" s="2" t="s">
        <v>23</v>
      </c>
      <c r="O32" s="2" t="s">
        <v>24</v>
      </c>
      <c r="P32" s="2" t="s">
        <v>863</v>
      </c>
      <c r="Q32" s="9">
        <v>10000</v>
      </c>
    </row>
    <row r="33" spans="2:17" x14ac:dyDescent="0.25">
      <c r="B33" s="1">
        <f t="shared" si="0"/>
        <v>31</v>
      </c>
      <c r="C33" s="1" t="s">
        <v>107</v>
      </c>
      <c r="D33" s="2" t="s">
        <v>108</v>
      </c>
      <c r="E33" s="2" t="s">
        <v>33</v>
      </c>
      <c r="F33" s="2" t="s">
        <v>17</v>
      </c>
      <c r="G33" s="2" t="s">
        <v>71</v>
      </c>
      <c r="H33" s="2" t="s">
        <v>29</v>
      </c>
      <c r="I33" s="4">
        <v>45450</v>
      </c>
      <c r="J33" s="4">
        <v>45270</v>
      </c>
      <c r="K33" s="2" t="s">
        <v>20</v>
      </c>
      <c r="L33" s="2" t="s">
        <v>21</v>
      </c>
      <c r="M33" s="2" t="s">
        <v>54</v>
      </c>
      <c r="N33" s="2" t="s">
        <v>92</v>
      </c>
      <c r="O33" s="2" t="s">
        <v>43</v>
      </c>
      <c r="P33" s="2" t="s">
        <v>863</v>
      </c>
      <c r="Q33" s="9">
        <v>6211</v>
      </c>
    </row>
    <row r="34" spans="2:17" x14ac:dyDescent="0.25">
      <c r="B34" s="1">
        <f t="shared" si="0"/>
        <v>32</v>
      </c>
      <c r="C34" s="1" t="s">
        <v>109</v>
      </c>
      <c r="D34" s="2" t="s">
        <v>110</v>
      </c>
      <c r="E34" s="2" t="s">
        <v>33</v>
      </c>
      <c r="F34" s="2" t="s">
        <v>17</v>
      </c>
      <c r="G34" s="2" t="s">
        <v>71</v>
      </c>
      <c r="H34" s="2" t="s">
        <v>29</v>
      </c>
      <c r="I34" s="4">
        <v>45450</v>
      </c>
      <c r="J34" s="4">
        <v>45270</v>
      </c>
      <c r="K34" s="2" t="s">
        <v>20</v>
      </c>
      <c r="L34" s="2" t="s">
        <v>21</v>
      </c>
      <c r="M34" s="2" t="s">
        <v>111</v>
      </c>
      <c r="N34" s="2" t="s">
        <v>112</v>
      </c>
      <c r="O34" s="2" t="s">
        <v>43</v>
      </c>
      <c r="P34" s="2" t="s">
        <v>863</v>
      </c>
      <c r="Q34" s="9">
        <v>36352</v>
      </c>
    </row>
    <row r="35" spans="2:17" x14ac:dyDescent="0.25">
      <c r="B35" s="1">
        <f t="shared" si="0"/>
        <v>33</v>
      </c>
      <c r="C35" s="1" t="s">
        <v>113</v>
      </c>
      <c r="D35" s="2" t="s">
        <v>114</v>
      </c>
      <c r="E35" s="2" t="s">
        <v>33</v>
      </c>
      <c r="F35" s="2" t="s">
        <v>17</v>
      </c>
      <c r="G35" s="2" t="s">
        <v>71</v>
      </c>
      <c r="H35" s="2" t="s">
        <v>29</v>
      </c>
      <c r="I35" s="4">
        <v>45450</v>
      </c>
      <c r="J35" s="4">
        <v>45270</v>
      </c>
      <c r="K35" s="2" t="s">
        <v>20</v>
      </c>
      <c r="L35" s="2" t="s">
        <v>21</v>
      </c>
      <c r="M35" s="2" t="s">
        <v>111</v>
      </c>
      <c r="N35" s="2" t="s">
        <v>115</v>
      </c>
      <c r="O35" s="2" t="s">
        <v>24</v>
      </c>
      <c r="P35" s="2" t="s">
        <v>863</v>
      </c>
      <c r="Q35" s="9">
        <v>2581</v>
      </c>
    </row>
    <row r="36" spans="2:17" x14ac:dyDescent="0.25">
      <c r="B36" s="1">
        <f t="shared" si="0"/>
        <v>34</v>
      </c>
      <c r="C36" s="1" t="s">
        <v>116</v>
      </c>
      <c r="D36" s="2" t="s">
        <v>117</v>
      </c>
      <c r="E36" s="2" t="s">
        <v>33</v>
      </c>
      <c r="F36" s="2" t="s">
        <v>17</v>
      </c>
      <c r="G36" s="2" t="s">
        <v>71</v>
      </c>
      <c r="H36" s="2" t="s">
        <v>29</v>
      </c>
      <c r="I36" s="4">
        <v>45450</v>
      </c>
      <c r="J36" s="4">
        <v>45270</v>
      </c>
      <c r="K36" s="2" t="s">
        <v>20</v>
      </c>
      <c r="L36" s="2" t="s">
        <v>21</v>
      </c>
      <c r="M36" s="2" t="s">
        <v>22</v>
      </c>
      <c r="N36" s="2" t="s">
        <v>92</v>
      </c>
      <c r="O36" s="2" t="s">
        <v>43</v>
      </c>
      <c r="P36" s="2" t="s">
        <v>863</v>
      </c>
      <c r="Q36" s="9">
        <v>2365</v>
      </c>
    </row>
    <row r="37" spans="2:17" x14ac:dyDescent="0.25">
      <c r="B37" s="1">
        <f t="shared" si="0"/>
        <v>35</v>
      </c>
      <c r="C37" s="1" t="s">
        <v>118</v>
      </c>
      <c r="D37" s="2" t="s">
        <v>119</v>
      </c>
      <c r="E37" s="2" t="s">
        <v>33</v>
      </c>
      <c r="F37" s="2" t="s">
        <v>17</v>
      </c>
      <c r="G37" s="2" t="s">
        <v>71</v>
      </c>
      <c r="H37" s="2" t="s">
        <v>29</v>
      </c>
      <c r="I37" s="4">
        <v>45450</v>
      </c>
      <c r="J37" s="4">
        <v>45270</v>
      </c>
      <c r="K37" s="2" t="s">
        <v>20</v>
      </c>
      <c r="L37" s="2" t="s">
        <v>34</v>
      </c>
      <c r="M37" s="2" t="s">
        <v>22</v>
      </c>
      <c r="N37" s="2" t="s">
        <v>120</v>
      </c>
      <c r="O37" s="2" t="s">
        <v>43</v>
      </c>
      <c r="P37" s="2" t="s">
        <v>863</v>
      </c>
      <c r="Q37" s="9">
        <v>10000</v>
      </c>
    </row>
    <row r="38" spans="2:17" x14ac:dyDescent="0.25">
      <c r="B38" s="1">
        <f t="shared" si="0"/>
        <v>36</v>
      </c>
      <c r="C38" s="1" t="s">
        <v>121</v>
      </c>
      <c r="D38" s="2" t="s">
        <v>122</v>
      </c>
      <c r="E38" s="2" t="s">
        <v>16</v>
      </c>
      <c r="F38" s="2" t="s">
        <v>17</v>
      </c>
      <c r="G38" s="2" t="s">
        <v>71</v>
      </c>
      <c r="H38" s="2" t="s">
        <v>29</v>
      </c>
      <c r="I38" s="4">
        <v>45450</v>
      </c>
      <c r="J38" s="4">
        <v>45270</v>
      </c>
      <c r="K38" s="2" t="s">
        <v>20</v>
      </c>
      <c r="L38" s="2" t="s">
        <v>21</v>
      </c>
      <c r="M38" s="2" t="s">
        <v>22</v>
      </c>
      <c r="N38" s="2" t="s">
        <v>23</v>
      </c>
      <c r="O38" s="2" t="s">
        <v>24</v>
      </c>
      <c r="P38" s="2" t="s">
        <v>863</v>
      </c>
      <c r="Q38" s="9">
        <v>10000</v>
      </c>
    </row>
    <row r="39" spans="2:17" x14ac:dyDescent="0.25">
      <c r="B39" s="1">
        <f t="shared" si="0"/>
        <v>37</v>
      </c>
      <c r="C39" s="1" t="s">
        <v>123</v>
      </c>
      <c r="D39" s="2" t="s">
        <v>124</v>
      </c>
      <c r="E39" s="2" t="s">
        <v>33</v>
      </c>
      <c r="F39" s="2" t="s">
        <v>17</v>
      </c>
      <c r="G39" s="2" t="s">
        <v>71</v>
      </c>
      <c r="H39" s="2" t="s">
        <v>29</v>
      </c>
      <c r="I39" s="4">
        <v>45450</v>
      </c>
      <c r="J39" s="4">
        <v>45270</v>
      </c>
      <c r="K39" s="2" t="s">
        <v>20</v>
      </c>
      <c r="L39" s="2" t="s">
        <v>21</v>
      </c>
      <c r="M39" s="2" t="s">
        <v>111</v>
      </c>
      <c r="N39" s="2" t="s">
        <v>23</v>
      </c>
      <c r="O39" s="2" t="s">
        <v>24</v>
      </c>
      <c r="P39" s="2" t="s">
        <v>863</v>
      </c>
      <c r="Q39" s="9">
        <v>16554</v>
      </c>
    </row>
    <row r="40" spans="2:17" x14ac:dyDescent="0.25">
      <c r="B40" s="1">
        <f t="shared" si="0"/>
        <v>38</v>
      </c>
      <c r="C40" s="1" t="s">
        <v>125</v>
      </c>
      <c r="D40" s="2" t="s">
        <v>126</v>
      </c>
      <c r="E40" s="2" t="s">
        <v>33</v>
      </c>
      <c r="F40" s="2" t="s">
        <v>17</v>
      </c>
      <c r="G40" s="2" t="s">
        <v>71</v>
      </c>
      <c r="H40" s="2" t="s">
        <v>29</v>
      </c>
      <c r="I40" s="4">
        <v>45450</v>
      </c>
      <c r="J40" s="4">
        <v>45270</v>
      </c>
      <c r="K40" s="2" t="s">
        <v>20</v>
      </c>
      <c r="L40" s="2" t="s">
        <v>21</v>
      </c>
      <c r="M40" s="2" t="s">
        <v>54</v>
      </c>
      <c r="N40" s="2" t="s">
        <v>23</v>
      </c>
      <c r="O40" s="2" t="s">
        <v>24</v>
      </c>
      <c r="P40" s="2" t="s">
        <v>863</v>
      </c>
      <c r="Q40" s="9">
        <v>10000</v>
      </c>
    </row>
    <row r="41" spans="2:17" x14ac:dyDescent="0.25">
      <c r="B41" s="1">
        <f t="shared" si="0"/>
        <v>39</v>
      </c>
      <c r="C41" s="1" t="s">
        <v>127</v>
      </c>
      <c r="D41" s="2" t="s">
        <v>128</v>
      </c>
      <c r="E41" s="2" t="s">
        <v>33</v>
      </c>
      <c r="F41" s="2" t="s">
        <v>17</v>
      </c>
      <c r="G41" s="2" t="s">
        <v>71</v>
      </c>
      <c r="H41" s="2" t="s">
        <v>29</v>
      </c>
      <c r="I41" s="4">
        <v>45450</v>
      </c>
      <c r="J41" s="4">
        <v>45270</v>
      </c>
      <c r="K41" s="2" t="s">
        <v>20</v>
      </c>
      <c r="L41" s="2" t="s">
        <v>34</v>
      </c>
      <c r="M41" s="2" t="s">
        <v>30</v>
      </c>
      <c r="N41" s="2" t="s">
        <v>23</v>
      </c>
      <c r="O41" s="2" t="s">
        <v>24</v>
      </c>
      <c r="P41" s="2" t="s">
        <v>863</v>
      </c>
      <c r="Q41" s="9">
        <v>10000</v>
      </c>
    </row>
    <row r="42" spans="2:17" x14ac:dyDescent="0.25">
      <c r="B42" s="1">
        <f t="shared" si="0"/>
        <v>40</v>
      </c>
      <c r="C42" s="1" t="s">
        <v>129</v>
      </c>
      <c r="D42" s="2" t="s">
        <v>130</v>
      </c>
      <c r="E42" s="2" t="s">
        <v>33</v>
      </c>
      <c r="F42" s="2" t="s">
        <v>17</v>
      </c>
      <c r="G42" s="2" t="s">
        <v>71</v>
      </c>
      <c r="H42" s="2" t="s">
        <v>29</v>
      </c>
      <c r="I42" s="4">
        <v>45450</v>
      </c>
      <c r="J42" s="4">
        <v>45270</v>
      </c>
      <c r="K42" s="2" t="s">
        <v>20</v>
      </c>
      <c r="L42" s="2" t="s">
        <v>34</v>
      </c>
      <c r="M42" s="2" t="s">
        <v>22</v>
      </c>
      <c r="N42" s="2" t="s">
        <v>23</v>
      </c>
      <c r="O42" s="2" t="s">
        <v>24</v>
      </c>
      <c r="P42" s="2" t="s">
        <v>863</v>
      </c>
      <c r="Q42" s="9">
        <v>10000</v>
      </c>
    </row>
    <row r="43" spans="2:17" x14ac:dyDescent="0.25">
      <c r="B43" s="1">
        <f t="shared" si="0"/>
        <v>41</v>
      </c>
      <c r="C43" s="1" t="s">
        <v>131</v>
      </c>
      <c r="D43" s="2" t="s">
        <v>132</v>
      </c>
      <c r="E43" s="2" t="s">
        <v>40</v>
      </c>
      <c r="F43" s="2" t="s">
        <v>17</v>
      </c>
      <c r="G43" s="2" t="s">
        <v>71</v>
      </c>
      <c r="H43" s="2" t="s">
        <v>29</v>
      </c>
      <c r="I43" s="4">
        <v>45450</v>
      </c>
      <c r="J43" s="4">
        <v>45270</v>
      </c>
      <c r="K43" s="2" t="s">
        <v>77</v>
      </c>
      <c r="L43" s="2" t="s">
        <v>34</v>
      </c>
      <c r="M43" s="2" t="s">
        <v>30</v>
      </c>
      <c r="N43" s="2" t="s">
        <v>23</v>
      </c>
      <c r="O43" s="2" t="s">
        <v>24</v>
      </c>
      <c r="P43" s="2" t="s">
        <v>863</v>
      </c>
      <c r="Q43" s="9">
        <v>165146</v>
      </c>
    </row>
    <row r="44" spans="2:17" x14ac:dyDescent="0.25">
      <c r="B44" s="1">
        <f t="shared" si="0"/>
        <v>42</v>
      </c>
      <c r="C44" s="1" t="s">
        <v>133</v>
      </c>
      <c r="D44" s="2" t="s">
        <v>134</v>
      </c>
      <c r="E44" s="2" t="s">
        <v>16</v>
      </c>
      <c r="F44" s="2" t="s">
        <v>17</v>
      </c>
      <c r="G44" s="2" t="s">
        <v>71</v>
      </c>
      <c r="H44" s="2" t="s">
        <v>29</v>
      </c>
      <c r="I44" s="4">
        <v>45450</v>
      </c>
      <c r="J44" s="4">
        <v>45270</v>
      </c>
      <c r="K44" s="2" t="s">
        <v>20</v>
      </c>
      <c r="L44" s="2" t="s">
        <v>21</v>
      </c>
      <c r="M44" s="2" t="s">
        <v>35</v>
      </c>
      <c r="N44" s="2" t="s">
        <v>92</v>
      </c>
      <c r="O44" s="2" t="s">
        <v>43</v>
      </c>
      <c r="P44" s="2" t="s">
        <v>863</v>
      </c>
      <c r="Q44" s="9">
        <v>10000</v>
      </c>
    </row>
    <row r="45" spans="2:17" x14ac:dyDescent="0.25">
      <c r="B45" s="1">
        <f t="shared" si="0"/>
        <v>43</v>
      </c>
      <c r="C45" s="1" t="s">
        <v>135</v>
      </c>
      <c r="D45" s="2" t="s">
        <v>136</v>
      </c>
      <c r="E45" s="2" t="s">
        <v>16</v>
      </c>
      <c r="F45" s="2" t="s">
        <v>17</v>
      </c>
      <c r="G45" s="2" t="s">
        <v>71</v>
      </c>
      <c r="H45" s="2" t="s">
        <v>29</v>
      </c>
      <c r="I45" s="4">
        <v>45450</v>
      </c>
      <c r="J45" s="4">
        <v>45270</v>
      </c>
      <c r="K45" s="2" t="s">
        <v>20</v>
      </c>
      <c r="L45" s="2" t="s">
        <v>21</v>
      </c>
      <c r="M45" s="2" t="s">
        <v>137</v>
      </c>
      <c r="N45" s="2" t="s">
        <v>23</v>
      </c>
      <c r="O45" s="2" t="s">
        <v>24</v>
      </c>
      <c r="P45" s="2" t="s">
        <v>863</v>
      </c>
      <c r="Q45" s="9">
        <v>10000</v>
      </c>
    </row>
    <row r="46" spans="2:17" x14ac:dyDescent="0.25">
      <c r="B46" s="1">
        <f t="shared" si="0"/>
        <v>44</v>
      </c>
      <c r="C46" s="1" t="s">
        <v>138</v>
      </c>
      <c r="D46" s="2" t="s">
        <v>139</v>
      </c>
      <c r="E46" s="2" t="s">
        <v>16</v>
      </c>
      <c r="F46" s="2" t="s">
        <v>17</v>
      </c>
      <c r="G46" s="2" t="s">
        <v>71</v>
      </c>
      <c r="H46" s="2" t="s">
        <v>29</v>
      </c>
      <c r="I46" s="4">
        <v>45450</v>
      </c>
      <c r="J46" s="4">
        <v>45270</v>
      </c>
      <c r="K46" s="2" t="s">
        <v>20</v>
      </c>
      <c r="L46" s="2" t="s">
        <v>21</v>
      </c>
      <c r="M46" s="2" t="s">
        <v>22</v>
      </c>
      <c r="N46" s="2" t="s">
        <v>23</v>
      </c>
      <c r="O46" s="2" t="s">
        <v>24</v>
      </c>
      <c r="P46" s="2" t="s">
        <v>863</v>
      </c>
      <c r="Q46" s="9">
        <v>215</v>
      </c>
    </row>
    <row r="47" spans="2:17" x14ac:dyDescent="0.25">
      <c r="B47" s="1">
        <f t="shared" si="0"/>
        <v>45</v>
      </c>
      <c r="C47" s="1" t="s">
        <v>140</v>
      </c>
      <c r="D47" s="2" t="s">
        <v>141</v>
      </c>
      <c r="E47" s="2" t="s">
        <v>33</v>
      </c>
      <c r="F47" s="2" t="s">
        <v>17</v>
      </c>
      <c r="G47" s="2" t="s">
        <v>71</v>
      </c>
      <c r="H47" s="2" t="s">
        <v>29</v>
      </c>
      <c r="I47" s="4">
        <v>45450</v>
      </c>
      <c r="J47" s="4">
        <v>45270</v>
      </c>
      <c r="K47" s="2" t="s">
        <v>20</v>
      </c>
      <c r="L47" s="2" t="s">
        <v>21</v>
      </c>
      <c r="M47" s="2" t="s">
        <v>35</v>
      </c>
      <c r="N47" s="2" t="s">
        <v>23</v>
      </c>
      <c r="O47" s="2" t="s">
        <v>24</v>
      </c>
      <c r="P47" s="2" t="s">
        <v>863</v>
      </c>
      <c r="Q47" s="9">
        <v>10000</v>
      </c>
    </row>
    <row r="48" spans="2:17" x14ac:dyDescent="0.25">
      <c r="B48" s="1">
        <f t="shared" si="0"/>
        <v>46</v>
      </c>
      <c r="C48" s="1" t="s">
        <v>142</v>
      </c>
      <c r="D48" s="2" t="s">
        <v>143</v>
      </c>
      <c r="E48" s="2" t="s">
        <v>33</v>
      </c>
      <c r="F48" s="2" t="s">
        <v>17</v>
      </c>
      <c r="G48" s="2" t="s">
        <v>71</v>
      </c>
      <c r="H48" s="2" t="s">
        <v>29</v>
      </c>
      <c r="I48" s="4">
        <v>45450</v>
      </c>
      <c r="J48" s="4">
        <v>45270</v>
      </c>
      <c r="K48" s="2" t="s">
        <v>77</v>
      </c>
      <c r="L48" s="2" t="s">
        <v>21</v>
      </c>
      <c r="M48" s="2" t="s">
        <v>144</v>
      </c>
      <c r="N48" s="2" t="s">
        <v>92</v>
      </c>
      <c r="O48" s="2" t="s">
        <v>43</v>
      </c>
      <c r="P48" s="2" t="s">
        <v>863</v>
      </c>
      <c r="Q48" s="9">
        <v>10000</v>
      </c>
    </row>
    <row r="49" spans="2:17" x14ac:dyDescent="0.25">
      <c r="B49" s="1">
        <f t="shared" si="0"/>
        <v>47</v>
      </c>
      <c r="C49" s="1" t="s">
        <v>145</v>
      </c>
      <c r="D49" s="2" t="s">
        <v>146</v>
      </c>
      <c r="E49" s="2" t="s">
        <v>33</v>
      </c>
      <c r="F49" s="2" t="s">
        <v>17</v>
      </c>
      <c r="G49" s="2" t="s">
        <v>71</v>
      </c>
      <c r="H49" s="2" t="s">
        <v>29</v>
      </c>
      <c r="I49" s="4">
        <v>45450</v>
      </c>
      <c r="J49" s="4">
        <v>45270</v>
      </c>
      <c r="K49" s="2" t="s">
        <v>20</v>
      </c>
      <c r="L49" s="2" t="s">
        <v>21</v>
      </c>
      <c r="M49" s="2" t="s">
        <v>22</v>
      </c>
      <c r="N49" s="2" t="s">
        <v>65</v>
      </c>
      <c r="O49" s="2" t="s">
        <v>37</v>
      </c>
      <c r="P49" s="2" t="s">
        <v>863</v>
      </c>
      <c r="Q49" s="9">
        <v>16365</v>
      </c>
    </row>
    <row r="50" spans="2:17" x14ac:dyDescent="0.25">
      <c r="B50" s="1">
        <f t="shared" si="0"/>
        <v>48</v>
      </c>
      <c r="C50" s="1" t="s">
        <v>147</v>
      </c>
      <c r="D50" s="2" t="s">
        <v>148</v>
      </c>
      <c r="E50" s="2" t="s">
        <v>33</v>
      </c>
      <c r="F50" s="2" t="s">
        <v>17</v>
      </c>
      <c r="G50" s="2" t="s">
        <v>71</v>
      </c>
      <c r="H50" s="2" t="s">
        <v>29</v>
      </c>
      <c r="I50" s="4">
        <v>45450</v>
      </c>
      <c r="J50" s="4">
        <v>45270</v>
      </c>
      <c r="K50" s="2" t="s">
        <v>77</v>
      </c>
      <c r="L50" s="2" t="s">
        <v>21</v>
      </c>
      <c r="M50" s="2" t="s">
        <v>22</v>
      </c>
      <c r="N50" s="2" t="s">
        <v>120</v>
      </c>
      <c r="O50" s="2" t="s">
        <v>43</v>
      </c>
      <c r="P50" s="2" t="s">
        <v>863</v>
      </c>
      <c r="Q50" s="9">
        <v>10000</v>
      </c>
    </row>
    <row r="51" spans="2:17" x14ac:dyDescent="0.25">
      <c r="B51" s="1">
        <f t="shared" si="0"/>
        <v>49</v>
      </c>
      <c r="C51" s="1" t="s">
        <v>149</v>
      </c>
      <c r="D51" s="2" t="s">
        <v>150</v>
      </c>
      <c r="E51" s="2" t="s">
        <v>33</v>
      </c>
      <c r="F51" s="2" t="s">
        <v>17</v>
      </c>
      <c r="G51" s="2" t="s">
        <v>71</v>
      </c>
      <c r="H51" s="2" t="s">
        <v>29</v>
      </c>
      <c r="I51" s="4">
        <v>45450</v>
      </c>
      <c r="J51" s="4">
        <v>45270</v>
      </c>
      <c r="K51" s="2" t="s">
        <v>20</v>
      </c>
      <c r="L51" s="2" t="s">
        <v>21</v>
      </c>
      <c r="M51" s="2" t="s">
        <v>111</v>
      </c>
      <c r="N51" s="2" t="s">
        <v>23</v>
      </c>
      <c r="O51" s="2" t="s">
        <v>24</v>
      </c>
      <c r="P51" s="2" t="s">
        <v>863</v>
      </c>
      <c r="Q51" s="9">
        <v>10000</v>
      </c>
    </row>
    <row r="52" spans="2:17" x14ac:dyDescent="0.25">
      <c r="B52" s="1">
        <f t="shared" si="0"/>
        <v>50</v>
      </c>
      <c r="C52" s="1" t="s">
        <v>151</v>
      </c>
      <c r="D52" s="2" t="s">
        <v>152</v>
      </c>
      <c r="E52" s="2" t="s">
        <v>33</v>
      </c>
      <c r="F52" s="2" t="s">
        <v>17</v>
      </c>
      <c r="G52" s="2" t="s">
        <v>71</v>
      </c>
      <c r="H52" s="2" t="s">
        <v>29</v>
      </c>
      <c r="I52" s="4">
        <v>45450</v>
      </c>
      <c r="J52" s="4">
        <v>45270</v>
      </c>
      <c r="K52" s="2" t="s">
        <v>77</v>
      </c>
      <c r="L52" s="2" t="s">
        <v>21</v>
      </c>
      <c r="M52" s="2" t="s">
        <v>35</v>
      </c>
      <c r="N52" s="2" t="s">
        <v>92</v>
      </c>
      <c r="O52" s="2" t="s">
        <v>43</v>
      </c>
      <c r="P52" s="2" t="s">
        <v>863</v>
      </c>
      <c r="Q52" s="9">
        <v>1636</v>
      </c>
    </row>
    <row r="53" spans="2:17" x14ac:dyDescent="0.25">
      <c r="B53" s="1">
        <f t="shared" si="0"/>
        <v>51</v>
      </c>
      <c r="C53" s="1" t="s">
        <v>153</v>
      </c>
      <c r="D53" s="2" t="s">
        <v>154</v>
      </c>
      <c r="E53" s="2" t="s">
        <v>33</v>
      </c>
      <c r="F53" s="2" t="s">
        <v>17</v>
      </c>
      <c r="G53" s="2" t="s">
        <v>71</v>
      </c>
      <c r="H53" s="2" t="s">
        <v>29</v>
      </c>
      <c r="I53" s="4">
        <v>45450</v>
      </c>
      <c r="J53" s="4">
        <v>45270</v>
      </c>
      <c r="K53" s="2" t="s">
        <v>77</v>
      </c>
      <c r="L53" s="2" t="s">
        <v>21</v>
      </c>
      <c r="M53" s="2" t="s">
        <v>35</v>
      </c>
      <c r="N53" s="2" t="s">
        <v>23</v>
      </c>
      <c r="O53" s="2" t="s">
        <v>24</v>
      </c>
      <c r="P53" s="2" t="s">
        <v>863</v>
      </c>
      <c r="Q53" s="9">
        <v>10000</v>
      </c>
    </row>
    <row r="54" spans="2:17" x14ac:dyDescent="0.25">
      <c r="B54" s="1">
        <f t="shared" si="0"/>
        <v>52</v>
      </c>
      <c r="C54" s="1" t="s">
        <v>155</v>
      </c>
      <c r="D54" s="2" t="s">
        <v>156</v>
      </c>
      <c r="E54" s="2" t="s">
        <v>16</v>
      </c>
      <c r="F54" s="2" t="s">
        <v>17</v>
      </c>
      <c r="G54" s="2" t="s">
        <v>71</v>
      </c>
      <c r="H54" s="2" t="s">
        <v>29</v>
      </c>
      <c r="I54" s="4">
        <v>45450</v>
      </c>
      <c r="J54" s="4">
        <v>45270</v>
      </c>
      <c r="K54" s="2" t="s">
        <v>77</v>
      </c>
      <c r="L54" s="2" t="s">
        <v>21</v>
      </c>
      <c r="M54" s="2" t="s">
        <v>35</v>
      </c>
      <c r="N54" s="2" t="s">
        <v>23</v>
      </c>
      <c r="O54" s="2" t="s">
        <v>24</v>
      </c>
      <c r="P54" s="2" t="s">
        <v>863</v>
      </c>
      <c r="Q54" s="9">
        <v>10000</v>
      </c>
    </row>
    <row r="55" spans="2:17" x14ac:dyDescent="0.25">
      <c r="B55" s="1">
        <f t="shared" si="0"/>
        <v>53</v>
      </c>
      <c r="C55" s="1" t="s">
        <v>157</v>
      </c>
      <c r="D55" s="2" t="s">
        <v>158</v>
      </c>
      <c r="E55" s="2" t="s">
        <v>33</v>
      </c>
      <c r="F55" s="2" t="s">
        <v>17</v>
      </c>
      <c r="G55" s="2" t="s">
        <v>71</v>
      </c>
      <c r="H55" s="2" t="s">
        <v>29</v>
      </c>
      <c r="I55" s="4">
        <v>45450</v>
      </c>
      <c r="J55" s="4">
        <v>45270</v>
      </c>
      <c r="K55" s="2" t="s">
        <v>77</v>
      </c>
      <c r="L55" s="2" t="s">
        <v>21</v>
      </c>
      <c r="M55" s="2" t="s">
        <v>35</v>
      </c>
      <c r="N55" s="2" t="s">
        <v>92</v>
      </c>
      <c r="O55" s="2" t="s">
        <v>43</v>
      </c>
      <c r="P55" s="2" t="s">
        <v>863</v>
      </c>
      <c r="Q55" s="9">
        <v>2163263</v>
      </c>
    </row>
    <row r="56" spans="2:17" x14ac:dyDescent="0.25">
      <c r="B56" s="1">
        <f t="shared" si="0"/>
        <v>54</v>
      </c>
      <c r="C56" s="1" t="s">
        <v>159</v>
      </c>
      <c r="D56" s="2" t="s">
        <v>160</v>
      </c>
      <c r="E56" s="2" t="s">
        <v>33</v>
      </c>
      <c r="F56" s="2" t="s">
        <v>17</v>
      </c>
      <c r="G56" s="2" t="s">
        <v>71</v>
      </c>
      <c r="H56" s="2" t="s">
        <v>29</v>
      </c>
      <c r="I56" s="4">
        <v>45450</v>
      </c>
      <c r="J56" s="4">
        <v>45270</v>
      </c>
      <c r="K56" s="2" t="s">
        <v>77</v>
      </c>
      <c r="L56" s="2" t="s">
        <v>34</v>
      </c>
      <c r="M56" s="2" t="s">
        <v>22</v>
      </c>
      <c r="N56" s="2" t="s">
        <v>23</v>
      </c>
      <c r="O56" s="2" t="s">
        <v>24</v>
      </c>
      <c r="P56" s="2" t="s">
        <v>863</v>
      </c>
      <c r="Q56" s="9">
        <v>10000</v>
      </c>
    </row>
    <row r="57" spans="2:17" x14ac:dyDescent="0.25">
      <c r="B57" s="1">
        <f t="shared" si="0"/>
        <v>55</v>
      </c>
      <c r="C57" s="1" t="s">
        <v>161</v>
      </c>
      <c r="D57" s="2" t="s">
        <v>162</v>
      </c>
      <c r="E57" s="2" t="s">
        <v>33</v>
      </c>
      <c r="F57" s="2" t="s">
        <v>17</v>
      </c>
      <c r="G57" s="2" t="s">
        <v>71</v>
      </c>
      <c r="H57" s="2" t="s">
        <v>29</v>
      </c>
      <c r="I57" s="4">
        <v>45450</v>
      </c>
      <c r="J57" s="4">
        <v>45270</v>
      </c>
      <c r="K57" s="2" t="s">
        <v>77</v>
      </c>
      <c r="L57" s="2" t="s">
        <v>21</v>
      </c>
      <c r="M57" s="2" t="s">
        <v>30</v>
      </c>
      <c r="N57" s="2" t="s">
        <v>23</v>
      </c>
      <c r="O57" s="2" t="s">
        <v>24</v>
      </c>
      <c r="P57" s="2" t="s">
        <v>863</v>
      </c>
      <c r="Q57" s="9">
        <v>10000</v>
      </c>
    </row>
    <row r="58" spans="2:17" x14ac:dyDescent="0.25">
      <c r="B58" s="1">
        <f t="shared" si="0"/>
        <v>56</v>
      </c>
      <c r="C58" s="1" t="s">
        <v>163</v>
      </c>
      <c r="D58" s="2" t="s">
        <v>164</v>
      </c>
      <c r="E58" s="2" t="s">
        <v>33</v>
      </c>
      <c r="F58" s="2" t="s">
        <v>165</v>
      </c>
      <c r="G58" s="2" t="s">
        <v>71</v>
      </c>
      <c r="H58" s="2" t="s">
        <v>29</v>
      </c>
      <c r="I58" s="4">
        <v>45450</v>
      </c>
      <c r="J58" s="4">
        <v>45270</v>
      </c>
      <c r="K58" s="2" t="s">
        <v>77</v>
      </c>
      <c r="L58" s="2" t="s">
        <v>21</v>
      </c>
      <c r="M58" s="2" t="s">
        <v>22</v>
      </c>
      <c r="N58" s="2" t="s">
        <v>23</v>
      </c>
      <c r="O58" s="2" t="s">
        <v>24</v>
      </c>
      <c r="P58" s="2" t="s">
        <v>863</v>
      </c>
      <c r="Q58" s="9">
        <v>2362</v>
      </c>
    </row>
    <row r="59" spans="2:17" x14ac:dyDescent="0.25">
      <c r="B59" s="1">
        <f t="shared" si="0"/>
        <v>57</v>
      </c>
      <c r="C59" s="1" t="s">
        <v>166</v>
      </c>
      <c r="D59" s="2" t="s">
        <v>167</v>
      </c>
      <c r="E59" s="2" t="s">
        <v>40</v>
      </c>
      <c r="F59" s="2" t="s">
        <v>165</v>
      </c>
      <c r="G59" s="2" t="s">
        <v>71</v>
      </c>
      <c r="H59" s="2" t="s">
        <v>29</v>
      </c>
      <c r="I59" s="4">
        <v>45450</v>
      </c>
      <c r="J59" s="4">
        <v>45270</v>
      </c>
      <c r="K59" s="2" t="s">
        <v>77</v>
      </c>
      <c r="L59" s="2" t="s">
        <v>21</v>
      </c>
      <c r="M59" s="2" t="s">
        <v>22</v>
      </c>
      <c r="N59" s="2" t="s">
        <v>168</v>
      </c>
      <c r="O59" s="2" t="s">
        <v>47</v>
      </c>
      <c r="P59" s="2" t="s">
        <v>863</v>
      </c>
      <c r="Q59" s="9">
        <v>10000</v>
      </c>
    </row>
    <row r="60" spans="2:17" x14ac:dyDescent="0.25">
      <c r="B60" s="1">
        <f t="shared" si="0"/>
        <v>58</v>
      </c>
      <c r="C60" s="1" t="s">
        <v>169</v>
      </c>
      <c r="D60" s="2" t="s">
        <v>170</v>
      </c>
      <c r="E60" s="2" t="s">
        <v>33</v>
      </c>
      <c r="F60" s="2" t="s">
        <v>171</v>
      </c>
      <c r="G60" s="2" t="s">
        <v>71</v>
      </c>
      <c r="H60" s="2" t="s">
        <v>29</v>
      </c>
      <c r="I60" s="4">
        <v>45450</v>
      </c>
      <c r="J60" s="4">
        <v>45270</v>
      </c>
      <c r="K60" s="2" t="s">
        <v>77</v>
      </c>
      <c r="L60" s="2" t="s">
        <v>34</v>
      </c>
      <c r="M60" s="2" t="s">
        <v>30</v>
      </c>
      <c r="N60" s="2" t="s">
        <v>23</v>
      </c>
      <c r="O60" s="2" t="s">
        <v>24</v>
      </c>
      <c r="P60" s="2" t="s">
        <v>863</v>
      </c>
      <c r="Q60" s="9">
        <v>10000</v>
      </c>
    </row>
    <row r="61" spans="2:17" x14ac:dyDescent="0.25">
      <c r="B61" s="1">
        <f t="shared" si="0"/>
        <v>59</v>
      </c>
      <c r="C61" s="1" t="s">
        <v>172</v>
      </c>
      <c r="D61" s="2" t="s">
        <v>173</v>
      </c>
      <c r="E61" s="2" t="s">
        <v>16</v>
      </c>
      <c r="F61" s="2" t="s">
        <v>171</v>
      </c>
      <c r="G61" s="2" t="s">
        <v>71</v>
      </c>
      <c r="H61" s="2" t="s">
        <v>29</v>
      </c>
      <c r="I61" s="4">
        <v>45450</v>
      </c>
      <c r="J61" s="4">
        <v>45270</v>
      </c>
      <c r="K61" s="2" t="s">
        <v>77</v>
      </c>
      <c r="L61" s="2" t="s">
        <v>34</v>
      </c>
      <c r="M61" s="2" t="s">
        <v>30</v>
      </c>
      <c r="N61" s="2" t="s">
        <v>23</v>
      </c>
      <c r="O61" s="2" t="s">
        <v>24</v>
      </c>
      <c r="P61" s="2" t="s">
        <v>863</v>
      </c>
      <c r="Q61" s="9">
        <v>132</v>
      </c>
    </row>
    <row r="62" spans="2:17" x14ac:dyDescent="0.25">
      <c r="B62" s="1">
        <f t="shared" si="0"/>
        <v>60</v>
      </c>
      <c r="C62" s="1" t="s">
        <v>174</v>
      </c>
      <c r="D62" s="2" t="s">
        <v>175</v>
      </c>
      <c r="E62" s="2" t="s">
        <v>16</v>
      </c>
      <c r="F62" s="2" t="s">
        <v>176</v>
      </c>
      <c r="G62" s="2" t="s">
        <v>71</v>
      </c>
      <c r="H62" s="2" t="s">
        <v>29</v>
      </c>
      <c r="I62" s="4">
        <v>45450</v>
      </c>
      <c r="J62" s="4">
        <v>45270</v>
      </c>
      <c r="K62" s="2" t="s">
        <v>20</v>
      </c>
      <c r="L62" s="2" t="s">
        <v>21</v>
      </c>
      <c r="M62" s="2" t="s">
        <v>30</v>
      </c>
      <c r="N62" s="2" t="s">
        <v>23</v>
      </c>
      <c r="O62" s="2" t="s">
        <v>24</v>
      </c>
      <c r="P62" s="2" t="s">
        <v>863</v>
      </c>
      <c r="Q62" s="9">
        <v>10000</v>
      </c>
    </row>
    <row r="63" spans="2:17" x14ac:dyDescent="0.25">
      <c r="B63" s="1">
        <f t="shared" si="0"/>
        <v>61</v>
      </c>
      <c r="C63" s="1" t="s">
        <v>177</v>
      </c>
      <c r="D63" s="2" t="s">
        <v>178</v>
      </c>
      <c r="E63" s="2" t="s">
        <v>33</v>
      </c>
      <c r="F63" s="2" t="s">
        <v>165</v>
      </c>
      <c r="G63" s="2" t="s">
        <v>71</v>
      </c>
      <c r="H63" s="2" t="s">
        <v>29</v>
      </c>
      <c r="I63" s="4">
        <v>45450</v>
      </c>
      <c r="J63" s="4">
        <v>45270</v>
      </c>
      <c r="K63" s="2" t="s">
        <v>20</v>
      </c>
      <c r="L63" s="2" t="s">
        <v>34</v>
      </c>
      <c r="M63" s="2" t="s">
        <v>35</v>
      </c>
      <c r="N63" s="2" t="s">
        <v>23</v>
      </c>
      <c r="O63" s="2" t="s">
        <v>24</v>
      </c>
      <c r="P63" s="2" t="s">
        <v>863</v>
      </c>
      <c r="Q63" s="9">
        <v>10000</v>
      </c>
    </row>
    <row r="64" spans="2:17" x14ac:dyDescent="0.25">
      <c r="B64" s="1">
        <f t="shared" si="0"/>
        <v>62</v>
      </c>
      <c r="C64" s="1" t="s">
        <v>179</v>
      </c>
      <c r="D64" s="2" t="s">
        <v>180</v>
      </c>
      <c r="E64" s="2" t="s">
        <v>33</v>
      </c>
      <c r="F64" s="2" t="s">
        <v>165</v>
      </c>
      <c r="G64" s="2" t="s">
        <v>71</v>
      </c>
      <c r="H64" s="2" t="s">
        <v>29</v>
      </c>
      <c r="I64" s="4">
        <v>45450</v>
      </c>
      <c r="J64" s="4">
        <v>45270</v>
      </c>
      <c r="K64" s="2" t="s">
        <v>77</v>
      </c>
      <c r="L64" s="2" t="s">
        <v>21</v>
      </c>
      <c r="M64" s="2" t="s">
        <v>35</v>
      </c>
      <c r="N64" s="2" t="s">
        <v>23</v>
      </c>
      <c r="O64" s="2" t="s">
        <v>24</v>
      </c>
      <c r="P64" s="2" t="s">
        <v>863</v>
      </c>
      <c r="Q64" s="9">
        <v>232</v>
      </c>
    </row>
    <row r="65" spans="2:17" x14ac:dyDescent="0.25">
      <c r="B65" s="1">
        <f t="shared" si="0"/>
        <v>63</v>
      </c>
      <c r="C65" s="1" t="s">
        <v>181</v>
      </c>
      <c r="D65" s="2" t="s">
        <v>182</v>
      </c>
      <c r="E65" s="2" t="s">
        <v>33</v>
      </c>
      <c r="F65" s="2" t="s">
        <v>165</v>
      </c>
      <c r="G65" s="2" t="s">
        <v>71</v>
      </c>
      <c r="H65" s="2" t="s">
        <v>29</v>
      </c>
      <c r="I65" s="4">
        <v>45450</v>
      </c>
      <c r="J65" s="4">
        <v>45270</v>
      </c>
      <c r="K65" s="2" t="s">
        <v>77</v>
      </c>
      <c r="L65" s="2" t="s">
        <v>21</v>
      </c>
      <c r="M65" s="2" t="s">
        <v>35</v>
      </c>
      <c r="N65" s="2" t="s">
        <v>92</v>
      </c>
      <c r="O65" s="2" t="s">
        <v>43</v>
      </c>
      <c r="P65" s="2" t="s">
        <v>863</v>
      </c>
      <c r="Q65" s="9">
        <v>10000</v>
      </c>
    </row>
    <row r="66" spans="2:17" x14ac:dyDescent="0.25">
      <c r="B66" s="1">
        <f t="shared" si="0"/>
        <v>64</v>
      </c>
      <c r="C66" s="1" t="s">
        <v>183</v>
      </c>
      <c r="D66" s="2" t="s">
        <v>184</v>
      </c>
      <c r="E66" s="2" t="s">
        <v>40</v>
      </c>
      <c r="F66" s="2" t="s">
        <v>165</v>
      </c>
      <c r="G66" s="2" t="s">
        <v>71</v>
      </c>
      <c r="H66" s="2" t="s">
        <v>29</v>
      </c>
      <c r="I66" s="4">
        <v>45450</v>
      </c>
      <c r="J66" s="4">
        <v>45270</v>
      </c>
      <c r="K66" s="2" t="s">
        <v>77</v>
      </c>
      <c r="L66" s="2" t="s">
        <v>21</v>
      </c>
      <c r="M66" s="2" t="s">
        <v>111</v>
      </c>
      <c r="N66" s="2" t="s">
        <v>92</v>
      </c>
      <c r="O66" s="2" t="s">
        <v>43</v>
      </c>
      <c r="P66" s="2" t="s">
        <v>863</v>
      </c>
      <c r="Q66" s="9">
        <v>10000</v>
      </c>
    </row>
    <row r="67" spans="2:17" x14ac:dyDescent="0.25">
      <c r="B67" s="1">
        <f t="shared" ref="B67:B130" si="1">ROW(B65)</f>
        <v>65</v>
      </c>
      <c r="C67" s="1" t="s">
        <v>185</v>
      </c>
      <c r="D67" s="2" t="s">
        <v>186</v>
      </c>
      <c r="E67" s="2" t="s">
        <v>33</v>
      </c>
      <c r="F67" s="2" t="s">
        <v>165</v>
      </c>
      <c r="G67" s="2" t="s">
        <v>71</v>
      </c>
      <c r="H67" s="2" t="s">
        <v>29</v>
      </c>
      <c r="I67" s="4">
        <v>45450</v>
      </c>
      <c r="J67" s="4">
        <v>45270</v>
      </c>
      <c r="K67" s="2" t="s">
        <v>20</v>
      </c>
      <c r="L67" s="2" t="s">
        <v>21</v>
      </c>
      <c r="M67" s="2" t="s">
        <v>35</v>
      </c>
      <c r="N67" s="2" t="s">
        <v>187</v>
      </c>
      <c r="O67" s="2" t="s">
        <v>37</v>
      </c>
      <c r="P67" s="2" t="s">
        <v>863</v>
      </c>
      <c r="Q67" s="9">
        <v>215</v>
      </c>
    </row>
    <row r="68" spans="2:17" x14ac:dyDescent="0.25">
      <c r="B68" s="1">
        <f t="shared" si="1"/>
        <v>66</v>
      </c>
      <c r="C68" s="1" t="s">
        <v>188</v>
      </c>
      <c r="D68" s="2" t="s">
        <v>189</v>
      </c>
      <c r="E68" s="2" t="s">
        <v>16</v>
      </c>
      <c r="F68" s="2" t="s">
        <v>190</v>
      </c>
      <c r="G68" s="2" t="s">
        <v>71</v>
      </c>
      <c r="H68" s="2" t="s">
        <v>29</v>
      </c>
      <c r="I68" s="4">
        <v>45450</v>
      </c>
      <c r="J68" s="4">
        <v>45270</v>
      </c>
      <c r="K68" s="2" t="s">
        <v>20</v>
      </c>
      <c r="L68" s="2" t="s">
        <v>21</v>
      </c>
      <c r="M68" s="2" t="s">
        <v>22</v>
      </c>
      <c r="N68" s="2" t="s">
        <v>23</v>
      </c>
      <c r="O68" s="2" t="s">
        <v>24</v>
      </c>
      <c r="P68" s="2" t="s">
        <v>863</v>
      </c>
      <c r="Q68" s="9">
        <v>20000</v>
      </c>
    </row>
    <row r="69" spans="2:17" x14ac:dyDescent="0.25">
      <c r="B69" s="1">
        <f t="shared" si="1"/>
        <v>67</v>
      </c>
      <c r="C69" s="1" t="s">
        <v>191</v>
      </c>
      <c r="D69" s="2" t="s">
        <v>192</v>
      </c>
      <c r="E69" s="2" t="s">
        <v>16</v>
      </c>
      <c r="F69" s="2" t="s">
        <v>171</v>
      </c>
      <c r="G69" s="2" t="s">
        <v>71</v>
      </c>
      <c r="H69" s="2" t="s">
        <v>29</v>
      </c>
      <c r="I69" s="4">
        <v>45450</v>
      </c>
      <c r="J69" s="4">
        <v>45270</v>
      </c>
      <c r="K69" s="2" t="s">
        <v>20</v>
      </c>
      <c r="L69" s="2" t="s">
        <v>21</v>
      </c>
      <c r="M69" s="2" t="s">
        <v>30</v>
      </c>
      <c r="N69" s="2" t="s">
        <v>23</v>
      </c>
      <c r="O69" s="2" t="s">
        <v>24</v>
      </c>
      <c r="P69" s="2" t="s">
        <v>863</v>
      </c>
      <c r="Q69" s="9">
        <v>155</v>
      </c>
    </row>
    <row r="70" spans="2:17" x14ac:dyDescent="0.25">
      <c r="B70" s="1">
        <f t="shared" si="1"/>
        <v>68</v>
      </c>
      <c r="C70" s="1" t="s">
        <v>193</v>
      </c>
      <c r="D70" s="2" t="s">
        <v>194</v>
      </c>
      <c r="E70" s="2" t="s">
        <v>16</v>
      </c>
      <c r="F70" s="2" t="s">
        <v>195</v>
      </c>
      <c r="G70" s="2" t="s">
        <v>71</v>
      </c>
      <c r="H70" s="2" t="s">
        <v>29</v>
      </c>
      <c r="I70" s="4">
        <v>45450</v>
      </c>
      <c r="J70" s="4">
        <v>45270</v>
      </c>
      <c r="K70" s="2" t="s">
        <v>20</v>
      </c>
      <c r="L70" s="2" t="s">
        <v>34</v>
      </c>
      <c r="M70" s="2" t="s">
        <v>35</v>
      </c>
      <c r="N70" s="2" t="s">
        <v>23</v>
      </c>
      <c r="O70" s="2" t="s">
        <v>24</v>
      </c>
      <c r="P70" s="2" t="s">
        <v>863</v>
      </c>
      <c r="Q70" s="9">
        <v>20000</v>
      </c>
    </row>
    <row r="71" spans="2:17" x14ac:dyDescent="0.25">
      <c r="B71" s="1">
        <f t="shared" si="1"/>
        <v>69</v>
      </c>
      <c r="C71" s="1" t="s">
        <v>196</v>
      </c>
      <c r="D71" s="2" t="s">
        <v>197</v>
      </c>
      <c r="E71" s="2" t="s">
        <v>16</v>
      </c>
      <c r="F71" s="2" t="s">
        <v>198</v>
      </c>
      <c r="G71" s="2" t="s">
        <v>71</v>
      </c>
      <c r="H71" s="2" t="s">
        <v>29</v>
      </c>
      <c r="I71" s="4">
        <v>45450</v>
      </c>
      <c r="J71" s="4">
        <v>45270</v>
      </c>
      <c r="K71" s="2" t="s">
        <v>20</v>
      </c>
      <c r="L71" s="2" t="s">
        <v>21</v>
      </c>
      <c r="M71" s="2" t="s">
        <v>35</v>
      </c>
      <c r="N71" s="2" t="s">
        <v>23</v>
      </c>
      <c r="O71" s="2" t="s">
        <v>24</v>
      </c>
      <c r="P71" s="2" t="s">
        <v>863</v>
      </c>
      <c r="Q71" s="9">
        <v>20000</v>
      </c>
    </row>
    <row r="72" spans="2:17" x14ac:dyDescent="0.25">
      <c r="B72" s="1">
        <f t="shared" si="1"/>
        <v>70</v>
      </c>
      <c r="C72" s="1" t="s">
        <v>199</v>
      </c>
      <c r="D72" s="2" t="s">
        <v>200</v>
      </c>
      <c r="E72" s="2" t="s">
        <v>201</v>
      </c>
      <c r="F72" s="2" t="s">
        <v>17</v>
      </c>
      <c r="G72" s="2" t="s">
        <v>71</v>
      </c>
      <c r="H72" s="2" t="s">
        <v>29</v>
      </c>
      <c r="I72" s="4">
        <v>45450</v>
      </c>
      <c r="J72" s="4">
        <v>45270</v>
      </c>
      <c r="K72" s="2" t="s">
        <v>20</v>
      </c>
      <c r="L72" s="2" t="s">
        <v>21</v>
      </c>
      <c r="M72" s="2" t="s">
        <v>35</v>
      </c>
      <c r="N72" s="2" t="s">
        <v>23</v>
      </c>
      <c r="O72" s="2" t="s">
        <v>24</v>
      </c>
      <c r="P72" s="2" t="s">
        <v>863</v>
      </c>
      <c r="Q72" s="9">
        <v>26526</v>
      </c>
    </row>
    <row r="73" spans="2:17" x14ac:dyDescent="0.25">
      <c r="B73" s="1">
        <f t="shared" si="1"/>
        <v>71</v>
      </c>
      <c r="C73" s="1" t="s">
        <v>202</v>
      </c>
      <c r="D73" s="2" t="s">
        <v>203</v>
      </c>
      <c r="E73" s="2" t="s">
        <v>16</v>
      </c>
      <c r="F73" s="2" t="s">
        <v>17</v>
      </c>
      <c r="G73" s="2" t="s">
        <v>71</v>
      </c>
      <c r="H73" s="2" t="s">
        <v>29</v>
      </c>
      <c r="I73" s="4">
        <v>45450</v>
      </c>
      <c r="J73" s="4">
        <v>45270</v>
      </c>
      <c r="K73" s="2" t="s">
        <v>20</v>
      </c>
      <c r="L73" s="2" t="s">
        <v>34</v>
      </c>
      <c r="M73" s="2" t="s">
        <v>54</v>
      </c>
      <c r="N73" s="2" t="s">
        <v>92</v>
      </c>
      <c r="O73" s="2" t="s">
        <v>43</v>
      </c>
      <c r="P73" s="2" t="s">
        <v>863</v>
      </c>
      <c r="Q73" s="9">
        <v>10000</v>
      </c>
    </row>
    <row r="74" spans="2:17" x14ac:dyDescent="0.25">
      <c r="B74" s="1">
        <f t="shared" si="1"/>
        <v>72</v>
      </c>
      <c r="C74" s="1" t="s">
        <v>204</v>
      </c>
      <c r="D74" s="2" t="s">
        <v>205</v>
      </c>
      <c r="E74" s="2" t="s">
        <v>201</v>
      </c>
      <c r="F74" s="2" t="s">
        <v>17</v>
      </c>
      <c r="G74" s="2" t="s">
        <v>71</v>
      </c>
      <c r="H74" s="2" t="s">
        <v>29</v>
      </c>
      <c r="I74" s="4">
        <v>45450</v>
      </c>
      <c r="J74" s="4">
        <v>45270</v>
      </c>
      <c r="K74" s="2" t="s">
        <v>20</v>
      </c>
      <c r="L74" s="2" t="s">
        <v>21</v>
      </c>
      <c r="M74" s="2" t="s">
        <v>30</v>
      </c>
      <c r="N74" s="2" t="s">
        <v>23</v>
      </c>
      <c r="O74" s="2" t="s">
        <v>24</v>
      </c>
      <c r="P74" s="2" t="s">
        <v>863</v>
      </c>
      <c r="Q74" s="9">
        <v>10000</v>
      </c>
    </row>
    <row r="75" spans="2:17" x14ac:dyDescent="0.25">
      <c r="B75" s="1">
        <f t="shared" si="1"/>
        <v>73</v>
      </c>
      <c r="C75" s="1" t="s">
        <v>206</v>
      </c>
      <c r="D75" s="2" t="s">
        <v>207</v>
      </c>
      <c r="E75" s="2" t="s">
        <v>16</v>
      </c>
      <c r="F75" s="2" t="s">
        <v>17</v>
      </c>
      <c r="G75" s="2" t="s">
        <v>71</v>
      </c>
      <c r="H75" s="2" t="s">
        <v>29</v>
      </c>
      <c r="I75" s="4">
        <v>45450</v>
      </c>
      <c r="J75" s="4">
        <v>45270</v>
      </c>
      <c r="K75" s="2" t="s">
        <v>20</v>
      </c>
      <c r="L75" s="2" t="s">
        <v>21</v>
      </c>
      <c r="M75" s="2" t="s">
        <v>22</v>
      </c>
      <c r="N75" s="2" t="s">
        <v>92</v>
      </c>
      <c r="O75" s="2" t="s">
        <v>43</v>
      </c>
      <c r="P75" s="2" t="s">
        <v>863</v>
      </c>
      <c r="Q75" s="9">
        <v>262</v>
      </c>
    </row>
    <row r="76" spans="2:17" x14ac:dyDescent="0.25">
      <c r="B76" s="1">
        <f t="shared" si="1"/>
        <v>74</v>
      </c>
      <c r="C76" s="1" t="s">
        <v>208</v>
      </c>
      <c r="D76" s="2" t="s">
        <v>209</v>
      </c>
      <c r="E76" s="2" t="s">
        <v>33</v>
      </c>
      <c r="F76" s="2" t="s">
        <v>17</v>
      </c>
      <c r="G76" s="2" t="s">
        <v>71</v>
      </c>
      <c r="H76" s="2" t="s">
        <v>29</v>
      </c>
      <c r="I76" s="4">
        <v>45451</v>
      </c>
      <c r="J76" s="4">
        <v>45271</v>
      </c>
      <c r="K76" s="2" t="s">
        <v>77</v>
      </c>
      <c r="L76" s="2" t="s">
        <v>21</v>
      </c>
      <c r="M76" s="2" t="s">
        <v>35</v>
      </c>
      <c r="N76" s="2" t="s">
        <v>120</v>
      </c>
      <c r="O76" s="2" t="s">
        <v>43</v>
      </c>
      <c r="P76" s="2" t="s">
        <v>863</v>
      </c>
      <c r="Q76" s="9">
        <v>10000</v>
      </c>
    </row>
    <row r="77" spans="2:17" x14ac:dyDescent="0.25">
      <c r="B77" s="1">
        <f t="shared" si="1"/>
        <v>75</v>
      </c>
      <c r="C77" s="1" t="s">
        <v>210</v>
      </c>
      <c r="D77" s="2" t="s">
        <v>211</v>
      </c>
      <c r="E77" s="2" t="s">
        <v>40</v>
      </c>
      <c r="F77" s="2" t="s">
        <v>17</v>
      </c>
      <c r="G77" s="2" t="s">
        <v>71</v>
      </c>
      <c r="H77" s="2" t="s">
        <v>29</v>
      </c>
      <c r="I77" s="4">
        <v>45451</v>
      </c>
      <c r="J77" s="4">
        <v>45271</v>
      </c>
      <c r="K77" s="2" t="s">
        <v>20</v>
      </c>
      <c r="L77" s="2" t="s">
        <v>21</v>
      </c>
      <c r="M77" s="2" t="s">
        <v>35</v>
      </c>
      <c r="N77" s="2" t="s">
        <v>92</v>
      </c>
      <c r="O77" s="2" t="s">
        <v>43</v>
      </c>
      <c r="P77" s="2" t="s">
        <v>863</v>
      </c>
      <c r="Q77" s="9">
        <v>10000</v>
      </c>
    </row>
    <row r="78" spans="2:17" x14ac:dyDescent="0.25">
      <c r="B78" s="1">
        <f t="shared" si="1"/>
        <v>76</v>
      </c>
      <c r="C78" s="1" t="s">
        <v>212</v>
      </c>
      <c r="D78" s="2" t="s">
        <v>213</v>
      </c>
      <c r="E78" s="2" t="s">
        <v>40</v>
      </c>
      <c r="F78" s="2" t="s">
        <v>17</v>
      </c>
      <c r="G78" s="2" t="s">
        <v>71</v>
      </c>
      <c r="H78" s="2" t="s">
        <v>29</v>
      </c>
      <c r="I78" s="4">
        <v>45451</v>
      </c>
      <c r="J78" s="4">
        <v>45271</v>
      </c>
      <c r="K78" s="2" t="s">
        <v>20</v>
      </c>
      <c r="L78" s="2" t="s">
        <v>21</v>
      </c>
      <c r="M78" s="2" t="s">
        <v>54</v>
      </c>
      <c r="N78" s="2" t="s">
        <v>92</v>
      </c>
      <c r="O78" s="2" t="s">
        <v>43</v>
      </c>
      <c r="P78" s="2" t="s">
        <v>863</v>
      </c>
      <c r="Q78" s="9">
        <v>1626</v>
      </c>
    </row>
    <row r="79" spans="2:17" x14ac:dyDescent="0.25">
      <c r="B79" s="1">
        <f t="shared" si="1"/>
        <v>77</v>
      </c>
      <c r="C79" s="1" t="s">
        <v>214</v>
      </c>
      <c r="D79" s="2" t="s">
        <v>215</v>
      </c>
      <c r="E79" s="2" t="s">
        <v>33</v>
      </c>
      <c r="F79" s="2" t="s">
        <v>17</v>
      </c>
      <c r="G79" s="2" t="s">
        <v>71</v>
      </c>
      <c r="H79" s="2" t="s">
        <v>29</v>
      </c>
      <c r="I79" s="4">
        <v>45451</v>
      </c>
      <c r="J79" s="4">
        <v>45271</v>
      </c>
      <c r="K79" s="2" t="s">
        <v>20</v>
      </c>
      <c r="L79" s="2" t="s">
        <v>21</v>
      </c>
      <c r="M79" s="2" t="s">
        <v>22</v>
      </c>
      <c r="N79" s="2" t="s">
        <v>216</v>
      </c>
      <c r="O79" s="2" t="s">
        <v>24</v>
      </c>
      <c r="P79" s="2" t="s">
        <v>863</v>
      </c>
      <c r="Q79" s="9">
        <v>10000</v>
      </c>
    </row>
    <row r="80" spans="2:17" x14ac:dyDescent="0.25">
      <c r="B80" s="1">
        <f t="shared" si="1"/>
        <v>78</v>
      </c>
      <c r="C80" s="1" t="s">
        <v>217</v>
      </c>
      <c r="D80" s="2" t="s">
        <v>218</v>
      </c>
      <c r="E80" s="2" t="s">
        <v>33</v>
      </c>
      <c r="F80" s="2" t="s">
        <v>17</v>
      </c>
      <c r="G80" s="2" t="s">
        <v>71</v>
      </c>
      <c r="H80" s="2" t="s">
        <v>29</v>
      </c>
      <c r="I80" s="4">
        <v>45451</v>
      </c>
      <c r="J80" s="4">
        <v>45271</v>
      </c>
      <c r="K80" s="2" t="s">
        <v>20</v>
      </c>
      <c r="L80" s="2" t="s">
        <v>21</v>
      </c>
      <c r="M80" s="2" t="s">
        <v>35</v>
      </c>
      <c r="N80" s="2" t="s">
        <v>216</v>
      </c>
      <c r="O80" s="2" t="s">
        <v>24</v>
      </c>
      <c r="P80" s="2" t="s">
        <v>863</v>
      </c>
      <c r="Q80" s="9">
        <v>10000</v>
      </c>
    </row>
    <row r="81" spans="2:17" x14ac:dyDescent="0.25">
      <c r="B81" s="1">
        <f t="shared" si="1"/>
        <v>79</v>
      </c>
      <c r="C81" s="1" t="s">
        <v>219</v>
      </c>
      <c r="D81" s="2" t="s">
        <v>220</v>
      </c>
      <c r="E81" s="2" t="s">
        <v>40</v>
      </c>
      <c r="F81" s="2" t="s">
        <v>17</v>
      </c>
      <c r="G81" s="2" t="s">
        <v>71</v>
      </c>
      <c r="H81" s="2" t="s">
        <v>29</v>
      </c>
      <c r="I81" s="4">
        <v>45451</v>
      </c>
      <c r="J81" s="4">
        <v>45271</v>
      </c>
      <c r="K81" s="2" t="s">
        <v>20</v>
      </c>
      <c r="L81" s="2" t="s">
        <v>21</v>
      </c>
      <c r="M81" s="2" t="s">
        <v>111</v>
      </c>
      <c r="N81" s="2" t="s">
        <v>221</v>
      </c>
      <c r="O81" s="2" t="s">
        <v>43</v>
      </c>
      <c r="P81" s="2" t="s">
        <v>863</v>
      </c>
      <c r="Q81" s="9">
        <v>266</v>
      </c>
    </row>
    <row r="82" spans="2:17" x14ac:dyDescent="0.25">
      <c r="B82" s="1">
        <f t="shared" si="1"/>
        <v>80</v>
      </c>
      <c r="C82" s="1" t="s">
        <v>222</v>
      </c>
      <c r="D82" s="2" t="s">
        <v>223</v>
      </c>
      <c r="E82" s="2" t="s">
        <v>40</v>
      </c>
      <c r="F82" s="2" t="s">
        <v>17</v>
      </c>
      <c r="G82" s="2" t="s">
        <v>71</v>
      </c>
      <c r="H82" s="2" t="s">
        <v>29</v>
      </c>
      <c r="I82" s="4">
        <v>45451</v>
      </c>
      <c r="J82" s="4">
        <v>45271</v>
      </c>
      <c r="K82" s="2" t="s">
        <v>20</v>
      </c>
      <c r="L82" s="2" t="s">
        <v>21</v>
      </c>
      <c r="M82" s="2" t="s">
        <v>30</v>
      </c>
      <c r="N82" s="2" t="s">
        <v>216</v>
      </c>
      <c r="O82" s="2" t="s">
        <v>24</v>
      </c>
      <c r="P82" s="2" t="s">
        <v>863</v>
      </c>
      <c r="Q82" s="9">
        <v>10000</v>
      </c>
    </row>
    <row r="83" spans="2:17" x14ac:dyDescent="0.25">
      <c r="B83" s="1">
        <f t="shared" si="1"/>
        <v>81</v>
      </c>
      <c r="C83" s="1" t="s">
        <v>224</v>
      </c>
      <c r="D83" s="2" t="s">
        <v>225</v>
      </c>
      <c r="E83" s="2" t="s">
        <v>40</v>
      </c>
      <c r="F83" s="2" t="s">
        <v>41</v>
      </c>
      <c r="G83" s="2" t="s">
        <v>71</v>
      </c>
      <c r="H83" s="2" t="s">
        <v>29</v>
      </c>
      <c r="I83" s="4">
        <v>45451</v>
      </c>
      <c r="J83" s="4">
        <v>45271</v>
      </c>
      <c r="K83" s="2" t="s">
        <v>20</v>
      </c>
      <c r="L83" s="2" t="s">
        <v>34</v>
      </c>
      <c r="M83" s="2" t="s">
        <v>111</v>
      </c>
      <c r="N83" s="2" t="s">
        <v>23</v>
      </c>
      <c r="O83" s="2" t="s">
        <v>24</v>
      </c>
      <c r="P83" s="2" t="s">
        <v>863</v>
      </c>
      <c r="Q83" s="9">
        <v>10000</v>
      </c>
    </row>
    <row r="84" spans="2:17" x14ac:dyDescent="0.25">
      <c r="B84" s="1">
        <f t="shared" si="1"/>
        <v>82</v>
      </c>
      <c r="C84" s="1" t="s">
        <v>226</v>
      </c>
      <c r="D84" s="2" t="s">
        <v>227</v>
      </c>
      <c r="E84" s="2" t="s">
        <v>40</v>
      </c>
      <c r="F84" s="2" t="s">
        <v>17</v>
      </c>
      <c r="G84" s="2" t="s">
        <v>71</v>
      </c>
      <c r="H84" s="2" t="s">
        <v>29</v>
      </c>
      <c r="I84" s="4">
        <v>45451</v>
      </c>
      <c r="J84" s="4">
        <v>45271</v>
      </c>
      <c r="K84" s="2" t="s">
        <v>20</v>
      </c>
      <c r="L84" s="2" t="s">
        <v>21</v>
      </c>
      <c r="M84" s="2" t="s">
        <v>111</v>
      </c>
      <c r="N84" s="2" t="s">
        <v>23</v>
      </c>
      <c r="O84" s="2" t="s">
        <v>24</v>
      </c>
      <c r="P84" s="2" t="s">
        <v>863</v>
      </c>
      <c r="Q84" s="9">
        <v>16</v>
      </c>
    </row>
    <row r="85" spans="2:17" x14ac:dyDescent="0.25">
      <c r="B85" s="1">
        <f t="shared" si="1"/>
        <v>83</v>
      </c>
      <c r="C85" s="1" t="s">
        <v>228</v>
      </c>
      <c r="D85" s="2" t="s">
        <v>229</v>
      </c>
      <c r="E85" s="2" t="s">
        <v>40</v>
      </c>
      <c r="F85" s="2" t="s">
        <v>17</v>
      </c>
      <c r="G85" s="2" t="s">
        <v>71</v>
      </c>
      <c r="H85" s="2" t="s">
        <v>29</v>
      </c>
      <c r="I85" s="4">
        <v>45451</v>
      </c>
      <c r="J85" s="4">
        <v>45271</v>
      </c>
      <c r="K85" s="2" t="s">
        <v>20</v>
      </c>
      <c r="L85" s="2" t="s">
        <v>21</v>
      </c>
      <c r="M85" s="2" t="s">
        <v>30</v>
      </c>
      <c r="N85" s="2" t="s">
        <v>23</v>
      </c>
      <c r="O85" s="2" t="s">
        <v>24</v>
      </c>
      <c r="P85" s="2" t="s">
        <v>863</v>
      </c>
      <c r="Q85" s="9">
        <v>1000</v>
      </c>
    </row>
    <row r="86" spans="2:17" x14ac:dyDescent="0.25">
      <c r="B86" s="1">
        <f t="shared" si="1"/>
        <v>84</v>
      </c>
      <c r="C86" s="1" t="s">
        <v>230</v>
      </c>
      <c r="D86" s="2" t="s">
        <v>231</v>
      </c>
      <c r="E86" s="2" t="s">
        <v>33</v>
      </c>
      <c r="F86" s="2" t="s">
        <v>17</v>
      </c>
      <c r="G86" s="2" t="s">
        <v>71</v>
      </c>
      <c r="H86" s="2" t="s">
        <v>29</v>
      </c>
      <c r="I86" s="4">
        <v>45451</v>
      </c>
      <c r="J86" s="4">
        <v>45271</v>
      </c>
      <c r="K86" s="2" t="s">
        <v>20</v>
      </c>
      <c r="L86" s="2" t="s">
        <v>21</v>
      </c>
      <c r="M86" s="2" t="s">
        <v>30</v>
      </c>
      <c r="N86" s="2" t="s">
        <v>23</v>
      </c>
      <c r="O86" s="2" t="s">
        <v>24</v>
      </c>
      <c r="P86" s="2" t="s">
        <v>863</v>
      </c>
      <c r="Q86" s="9">
        <v>1000</v>
      </c>
    </row>
    <row r="87" spans="2:17" x14ac:dyDescent="0.25">
      <c r="B87" s="1">
        <f t="shared" si="1"/>
        <v>85</v>
      </c>
      <c r="C87" s="1" t="s">
        <v>232</v>
      </c>
      <c r="D87" s="2" t="s">
        <v>233</v>
      </c>
      <c r="E87" s="2" t="s">
        <v>40</v>
      </c>
      <c r="F87" s="2" t="s">
        <v>17</v>
      </c>
      <c r="G87" s="2" t="s">
        <v>71</v>
      </c>
      <c r="H87" s="2" t="s">
        <v>29</v>
      </c>
      <c r="I87" s="4">
        <v>45451</v>
      </c>
      <c r="J87" s="4">
        <v>45271</v>
      </c>
      <c r="K87" s="2" t="s">
        <v>20</v>
      </c>
      <c r="L87" s="2" t="s">
        <v>21</v>
      </c>
      <c r="M87" s="2" t="s">
        <v>22</v>
      </c>
      <c r="N87" s="2" t="s">
        <v>23</v>
      </c>
      <c r="O87" s="2" t="s">
        <v>24</v>
      </c>
      <c r="P87" s="2" t="s">
        <v>863</v>
      </c>
      <c r="Q87" s="9">
        <v>616</v>
      </c>
    </row>
    <row r="88" spans="2:17" x14ac:dyDescent="0.25">
      <c r="B88" s="1">
        <f t="shared" si="1"/>
        <v>86</v>
      </c>
      <c r="C88" s="1" t="s">
        <v>234</v>
      </c>
      <c r="D88" s="2" t="s">
        <v>235</v>
      </c>
      <c r="E88" s="2" t="s">
        <v>33</v>
      </c>
      <c r="F88" s="2" t="s">
        <v>17</v>
      </c>
      <c r="G88" s="2" t="s">
        <v>71</v>
      </c>
      <c r="H88" s="2" t="s">
        <v>29</v>
      </c>
      <c r="I88" s="4">
        <v>45451</v>
      </c>
      <c r="J88" s="4">
        <v>45271</v>
      </c>
      <c r="K88" s="2" t="s">
        <v>20</v>
      </c>
      <c r="L88" s="2" t="s">
        <v>21</v>
      </c>
      <c r="M88" s="2" t="s">
        <v>54</v>
      </c>
      <c r="N88" s="2" t="s">
        <v>23</v>
      </c>
      <c r="O88" s="2" t="s">
        <v>24</v>
      </c>
      <c r="P88" s="2" t="s">
        <v>863</v>
      </c>
      <c r="Q88" s="9">
        <v>1000</v>
      </c>
    </row>
    <row r="89" spans="2:17" x14ac:dyDescent="0.25">
      <c r="B89" s="1">
        <f t="shared" si="1"/>
        <v>87</v>
      </c>
      <c r="C89" s="1" t="s">
        <v>236</v>
      </c>
      <c r="D89" s="2" t="s">
        <v>237</v>
      </c>
      <c r="E89" s="2" t="s">
        <v>33</v>
      </c>
      <c r="F89" s="2" t="s">
        <v>17</v>
      </c>
      <c r="G89" s="2" t="s">
        <v>71</v>
      </c>
      <c r="H89" s="2" t="s">
        <v>29</v>
      </c>
      <c r="I89" s="4">
        <v>45451</v>
      </c>
      <c r="J89" s="4">
        <v>45271</v>
      </c>
      <c r="K89" s="2" t="s">
        <v>20</v>
      </c>
      <c r="L89" s="2" t="s">
        <v>21</v>
      </c>
      <c r="M89" s="2" t="s">
        <v>54</v>
      </c>
      <c r="N89" s="2" t="s">
        <v>92</v>
      </c>
      <c r="O89" s="2" t="s">
        <v>43</v>
      </c>
      <c r="P89" s="2" t="s">
        <v>863</v>
      </c>
      <c r="Q89" s="9">
        <v>1000</v>
      </c>
    </row>
    <row r="90" spans="2:17" x14ac:dyDescent="0.25">
      <c r="B90" s="1">
        <f t="shared" si="1"/>
        <v>88</v>
      </c>
      <c r="C90" s="1" t="s">
        <v>238</v>
      </c>
      <c r="D90" s="2" t="s">
        <v>239</v>
      </c>
      <c r="E90" s="2" t="s">
        <v>33</v>
      </c>
      <c r="F90" s="2" t="s">
        <v>17</v>
      </c>
      <c r="G90" s="2" t="s">
        <v>71</v>
      </c>
      <c r="H90" s="2" t="s">
        <v>29</v>
      </c>
      <c r="I90" s="4">
        <v>45451</v>
      </c>
      <c r="J90" s="4">
        <v>45271</v>
      </c>
      <c r="K90" s="2" t="s">
        <v>20</v>
      </c>
      <c r="L90" s="2" t="s">
        <v>21</v>
      </c>
      <c r="M90" s="2" t="s">
        <v>111</v>
      </c>
      <c r="N90" s="2" t="s">
        <v>112</v>
      </c>
      <c r="O90" s="2" t="s">
        <v>43</v>
      </c>
      <c r="P90" s="2" t="s">
        <v>863</v>
      </c>
      <c r="Q90" s="9">
        <v>1662</v>
      </c>
    </row>
    <row r="91" spans="2:17" x14ac:dyDescent="0.25">
      <c r="B91" s="1">
        <f t="shared" si="1"/>
        <v>89</v>
      </c>
      <c r="C91" s="1" t="s">
        <v>240</v>
      </c>
      <c r="D91" s="2" t="s">
        <v>241</v>
      </c>
      <c r="E91" s="2" t="s">
        <v>40</v>
      </c>
      <c r="F91" s="2" t="s">
        <v>17</v>
      </c>
      <c r="G91" s="2" t="s">
        <v>71</v>
      </c>
      <c r="H91" s="2" t="s">
        <v>29</v>
      </c>
      <c r="I91" s="4">
        <v>45451</v>
      </c>
      <c r="J91" s="4">
        <v>45271</v>
      </c>
      <c r="K91" s="2" t="s">
        <v>20</v>
      </c>
      <c r="L91" s="2" t="s">
        <v>21</v>
      </c>
      <c r="M91" s="2" t="s">
        <v>30</v>
      </c>
      <c r="N91" s="2" t="s">
        <v>23</v>
      </c>
      <c r="O91" s="2" t="s">
        <v>24</v>
      </c>
      <c r="P91" s="2" t="s">
        <v>863</v>
      </c>
      <c r="Q91" s="9">
        <v>10000</v>
      </c>
    </row>
    <row r="92" spans="2:17" x14ac:dyDescent="0.25">
      <c r="B92" s="1">
        <f t="shared" si="1"/>
        <v>90</v>
      </c>
      <c r="C92" s="1" t="s">
        <v>242</v>
      </c>
      <c r="D92" s="2" t="s">
        <v>243</v>
      </c>
      <c r="E92" s="2" t="s">
        <v>33</v>
      </c>
      <c r="F92" s="2" t="s">
        <v>17</v>
      </c>
      <c r="G92" s="2" t="s">
        <v>71</v>
      </c>
      <c r="H92" s="2" t="s">
        <v>29</v>
      </c>
      <c r="I92" s="4">
        <v>45451</v>
      </c>
      <c r="J92" s="4">
        <v>45271</v>
      </c>
      <c r="K92" s="2" t="s">
        <v>20</v>
      </c>
      <c r="L92" s="2" t="s">
        <v>21</v>
      </c>
      <c r="M92" s="2" t="s">
        <v>35</v>
      </c>
      <c r="N92" s="2" t="s">
        <v>23</v>
      </c>
      <c r="O92" s="2" t="s">
        <v>24</v>
      </c>
      <c r="P92" s="2" t="s">
        <v>863</v>
      </c>
      <c r="Q92" s="9">
        <v>16326</v>
      </c>
    </row>
    <row r="93" spans="2:17" x14ac:dyDescent="0.25">
      <c r="B93" s="1">
        <f t="shared" si="1"/>
        <v>91</v>
      </c>
      <c r="C93" s="1" t="s">
        <v>244</v>
      </c>
      <c r="D93" s="2" t="s">
        <v>150</v>
      </c>
      <c r="E93" s="2" t="s">
        <v>33</v>
      </c>
      <c r="F93" s="2" t="s">
        <v>17</v>
      </c>
      <c r="G93" s="2" t="s">
        <v>71</v>
      </c>
      <c r="H93" s="2" t="s">
        <v>29</v>
      </c>
      <c r="I93" s="4">
        <v>45451</v>
      </c>
      <c r="J93" s="4">
        <v>45271</v>
      </c>
      <c r="K93" s="2" t="s">
        <v>20</v>
      </c>
      <c r="L93" s="2" t="s">
        <v>34</v>
      </c>
      <c r="M93" s="2" t="s">
        <v>111</v>
      </c>
      <c r="N93" s="2" t="s">
        <v>23</v>
      </c>
      <c r="O93" s="2" t="s">
        <v>24</v>
      </c>
      <c r="P93" s="2" t="s">
        <v>863</v>
      </c>
      <c r="Q93" s="9">
        <v>10000</v>
      </c>
    </row>
    <row r="94" spans="2:17" x14ac:dyDescent="0.25">
      <c r="B94" s="1">
        <f t="shared" si="1"/>
        <v>92</v>
      </c>
      <c r="C94" s="1" t="s">
        <v>245</v>
      </c>
      <c r="D94" s="2" t="s">
        <v>246</v>
      </c>
      <c r="E94" s="2" t="s">
        <v>40</v>
      </c>
      <c r="F94" s="2" t="s">
        <v>17</v>
      </c>
      <c r="G94" s="2" t="s">
        <v>71</v>
      </c>
      <c r="H94" s="2" t="s">
        <v>29</v>
      </c>
      <c r="I94" s="4">
        <v>45451</v>
      </c>
      <c r="J94" s="4">
        <v>45271</v>
      </c>
      <c r="K94" s="2" t="s">
        <v>20</v>
      </c>
      <c r="L94" s="2" t="s">
        <v>21</v>
      </c>
      <c r="M94" s="2" t="s">
        <v>35</v>
      </c>
      <c r="N94" s="2" t="s">
        <v>23</v>
      </c>
      <c r="O94" s="2" t="s">
        <v>24</v>
      </c>
      <c r="P94" s="2" t="s">
        <v>863</v>
      </c>
      <c r="Q94" s="9">
        <v>26265</v>
      </c>
    </row>
    <row r="95" spans="2:17" x14ac:dyDescent="0.25">
      <c r="B95" s="1">
        <f t="shared" si="1"/>
        <v>93</v>
      </c>
      <c r="C95" s="1" t="s">
        <v>247</v>
      </c>
      <c r="D95" s="2" t="s">
        <v>248</v>
      </c>
      <c r="E95" s="2" t="s">
        <v>16</v>
      </c>
      <c r="F95" s="2" t="s">
        <v>17</v>
      </c>
      <c r="G95" s="2" t="s">
        <v>71</v>
      </c>
      <c r="H95" s="2" t="s">
        <v>29</v>
      </c>
      <c r="I95" s="4">
        <v>45451</v>
      </c>
      <c r="J95" s="4">
        <v>45271</v>
      </c>
      <c r="K95" s="2" t="s">
        <v>20</v>
      </c>
      <c r="L95" s="2" t="s">
        <v>21</v>
      </c>
      <c r="M95" s="2" t="s">
        <v>35</v>
      </c>
      <c r="N95" s="2" t="s">
        <v>23</v>
      </c>
      <c r="O95" s="2" t="s">
        <v>24</v>
      </c>
      <c r="P95" s="2" t="s">
        <v>863</v>
      </c>
      <c r="Q95" s="9">
        <v>2162</v>
      </c>
    </row>
    <row r="96" spans="2:17" x14ac:dyDescent="0.25">
      <c r="B96" s="1">
        <f t="shared" si="1"/>
        <v>94</v>
      </c>
      <c r="C96" s="1" t="s">
        <v>249</v>
      </c>
      <c r="D96" s="2" t="s">
        <v>250</v>
      </c>
      <c r="E96" s="2" t="s">
        <v>16</v>
      </c>
      <c r="F96" s="2" t="s">
        <v>17</v>
      </c>
      <c r="G96" s="2" t="s">
        <v>71</v>
      </c>
      <c r="H96" s="2" t="s">
        <v>29</v>
      </c>
      <c r="I96" s="4">
        <v>45451</v>
      </c>
      <c r="J96" s="4">
        <v>45271</v>
      </c>
      <c r="K96" s="2" t="s">
        <v>77</v>
      </c>
      <c r="L96" s="2" t="s">
        <v>21</v>
      </c>
      <c r="M96" s="2" t="s">
        <v>35</v>
      </c>
      <c r="N96" s="2" t="s">
        <v>92</v>
      </c>
      <c r="O96" s="2" t="s">
        <v>43</v>
      </c>
      <c r="P96" s="2" t="s">
        <v>863</v>
      </c>
      <c r="Q96" s="9">
        <v>10000</v>
      </c>
    </row>
    <row r="97" spans="2:17" x14ac:dyDescent="0.25">
      <c r="B97" s="1">
        <f t="shared" si="1"/>
        <v>95</v>
      </c>
      <c r="C97" s="1" t="s">
        <v>251</v>
      </c>
      <c r="D97" s="2" t="s">
        <v>252</v>
      </c>
      <c r="E97" s="2" t="s">
        <v>201</v>
      </c>
      <c r="F97" s="2" t="s">
        <v>17</v>
      </c>
      <c r="G97" s="2" t="s">
        <v>71</v>
      </c>
      <c r="H97" s="2" t="s">
        <v>29</v>
      </c>
      <c r="I97" s="4">
        <v>45451</v>
      </c>
      <c r="J97" s="4">
        <v>45271</v>
      </c>
      <c r="K97" s="2" t="s">
        <v>77</v>
      </c>
      <c r="L97" s="2" t="s">
        <v>21</v>
      </c>
      <c r="M97" s="2" t="s">
        <v>30</v>
      </c>
      <c r="N97" s="2" t="s">
        <v>23</v>
      </c>
      <c r="O97" s="2" t="s">
        <v>24</v>
      </c>
      <c r="P97" s="2" t="s">
        <v>863</v>
      </c>
      <c r="Q97" s="9">
        <v>16521</v>
      </c>
    </row>
    <row r="98" spans="2:17" x14ac:dyDescent="0.25">
      <c r="B98" s="1">
        <f t="shared" si="1"/>
        <v>96</v>
      </c>
      <c r="C98" s="1" t="s">
        <v>253</v>
      </c>
      <c r="D98" s="2" t="s">
        <v>254</v>
      </c>
      <c r="E98" s="2" t="s">
        <v>201</v>
      </c>
      <c r="F98" s="2" t="s">
        <v>17</v>
      </c>
      <c r="G98" s="2" t="s">
        <v>71</v>
      </c>
      <c r="H98" s="2" t="s">
        <v>29</v>
      </c>
      <c r="I98" s="4">
        <v>45451</v>
      </c>
      <c r="J98" s="4">
        <v>45271</v>
      </c>
      <c r="K98" s="2" t="s">
        <v>77</v>
      </c>
      <c r="L98" s="2" t="s">
        <v>21</v>
      </c>
      <c r="M98" s="2" t="s">
        <v>22</v>
      </c>
      <c r="N98" s="2" t="s">
        <v>255</v>
      </c>
      <c r="O98" s="2" t="s">
        <v>43</v>
      </c>
      <c r="P98" s="2" t="s">
        <v>863</v>
      </c>
      <c r="Q98" s="9">
        <v>21625</v>
      </c>
    </row>
    <row r="99" spans="2:17" x14ac:dyDescent="0.25">
      <c r="B99" s="1">
        <f t="shared" si="1"/>
        <v>97</v>
      </c>
      <c r="C99" s="1" t="s">
        <v>256</v>
      </c>
      <c r="D99" s="2" t="s">
        <v>156</v>
      </c>
      <c r="E99" s="2" t="s">
        <v>16</v>
      </c>
      <c r="F99" s="2" t="s">
        <v>17</v>
      </c>
      <c r="G99" s="2" t="s">
        <v>71</v>
      </c>
      <c r="H99" s="2" t="s">
        <v>29</v>
      </c>
      <c r="I99" s="4">
        <v>45451</v>
      </c>
      <c r="J99" s="4">
        <v>45271</v>
      </c>
      <c r="K99" s="2" t="s">
        <v>77</v>
      </c>
      <c r="L99" s="2" t="s">
        <v>21</v>
      </c>
      <c r="M99" s="2" t="s">
        <v>22</v>
      </c>
      <c r="N99" s="2" t="s">
        <v>65</v>
      </c>
      <c r="O99" s="2" t="s">
        <v>37</v>
      </c>
      <c r="P99" s="2" t="s">
        <v>863</v>
      </c>
      <c r="Q99" s="9">
        <v>6526</v>
      </c>
    </row>
    <row r="100" spans="2:17" x14ac:dyDescent="0.25">
      <c r="B100" s="1">
        <f t="shared" si="1"/>
        <v>98</v>
      </c>
      <c r="C100" s="1" t="s">
        <v>257</v>
      </c>
      <c r="D100" s="2" t="s">
        <v>158</v>
      </c>
      <c r="E100" s="2" t="s">
        <v>16</v>
      </c>
      <c r="F100" s="2" t="s">
        <v>17</v>
      </c>
      <c r="G100" s="2" t="s">
        <v>71</v>
      </c>
      <c r="H100" s="2" t="s">
        <v>29</v>
      </c>
      <c r="I100" s="4">
        <v>45451</v>
      </c>
      <c r="J100" s="4">
        <v>45271</v>
      </c>
      <c r="K100" s="2" t="s">
        <v>77</v>
      </c>
      <c r="L100" s="2" t="s">
        <v>21</v>
      </c>
      <c r="M100" s="2" t="s">
        <v>30</v>
      </c>
      <c r="N100" s="2" t="s">
        <v>258</v>
      </c>
      <c r="O100" s="2" t="s">
        <v>43</v>
      </c>
      <c r="P100" s="2" t="s">
        <v>863</v>
      </c>
      <c r="Q100" s="9">
        <v>655</v>
      </c>
    </row>
    <row r="101" spans="2:17" x14ac:dyDescent="0.25">
      <c r="B101" s="1">
        <f t="shared" si="1"/>
        <v>99</v>
      </c>
      <c r="C101" s="1" t="s">
        <v>259</v>
      </c>
      <c r="D101" s="2" t="s">
        <v>160</v>
      </c>
      <c r="E101" s="2" t="s">
        <v>16</v>
      </c>
      <c r="F101" s="2" t="s">
        <v>17</v>
      </c>
      <c r="G101" s="2" t="s">
        <v>71</v>
      </c>
      <c r="H101" s="2" t="s">
        <v>29</v>
      </c>
      <c r="I101" s="4">
        <v>45451</v>
      </c>
      <c r="J101" s="4">
        <v>45271</v>
      </c>
      <c r="K101" s="2" t="s">
        <v>77</v>
      </c>
      <c r="L101" s="2" t="s">
        <v>34</v>
      </c>
      <c r="M101" s="2" t="s">
        <v>22</v>
      </c>
      <c r="N101" s="2" t="s">
        <v>23</v>
      </c>
      <c r="O101" s="2" t="s">
        <v>24</v>
      </c>
      <c r="P101" s="2" t="s">
        <v>863</v>
      </c>
      <c r="Q101" s="9">
        <v>62146</v>
      </c>
    </row>
    <row r="102" spans="2:17" x14ac:dyDescent="0.25">
      <c r="B102" s="1">
        <f t="shared" si="1"/>
        <v>100</v>
      </c>
      <c r="C102" s="1" t="s">
        <v>260</v>
      </c>
      <c r="D102" s="2" t="s">
        <v>162</v>
      </c>
      <c r="E102" s="2" t="s">
        <v>16</v>
      </c>
      <c r="F102" s="2" t="s">
        <v>17</v>
      </c>
      <c r="G102" s="2" t="s">
        <v>71</v>
      </c>
      <c r="H102" s="2" t="s">
        <v>29</v>
      </c>
      <c r="I102" s="4">
        <v>45451</v>
      </c>
      <c r="J102" s="4">
        <v>45271</v>
      </c>
      <c r="K102" s="2" t="s">
        <v>77</v>
      </c>
      <c r="L102" s="2" t="s">
        <v>21</v>
      </c>
      <c r="M102" s="2" t="s">
        <v>54</v>
      </c>
      <c r="N102" s="2" t="s">
        <v>92</v>
      </c>
      <c r="O102" s="2" t="s">
        <v>43</v>
      </c>
      <c r="P102" s="2" t="s">
        <v>863</v>
      </c>
      <c r="Q102" s="9">
        <v>2656</v>
      </c>
    </row>
    <row r="103" spans="2:17" x14ac:dyDescent="0.25">
      <c r="B103" s="1">
        <f t="shared" si="1"/>
        <v>101</v>
      </c>
      <c r="C103" s="1" t="s">
        <v>261</v>
      </c>
      <c r="D103" s="2" t="s">
        <v>164</v>
      </c>
      <c r="E103" s="2" t="s">
        <v>40</v>
      </c>
      <c r="F103" s="2" t="s">
        <v>17</v>
      </c>
      <c r="G103" s="2" t="s">
        <v>71</v>
      </c>
      <c r="H103" s="2" t="s">
        <v>29</v>
      </c>
      <c r="I103" s="4">
        <v>45451</v>
      </c>
      <c r="J103" s="4">
        <v>45271</v>
      </c>
      <c r="K103" s="2" t="s">
        <v>77</v>
      </c>
      <c r="L103" s="2" t="s">
        <v>21</v>
      </c>
      <c r="M103" s="2" t="s">
        <v>22</v>
      </c>
      <c r="N103" s="2" t="s">
        <v>23</v>
      </c>
      <c r="O103" s="2" t="s">
        <v>24</v>
      </c>
      <c r="P103" s="2" t="s">
        <v>863</v>
      </c>
      <c r="Q103" s="9">
        <v>216</v>
      </c>
    </row>
    <row r="104" spans="2:17" x14ac:dyDescent="0.25">
      <c r="B104" s="1">
        <f t="shared" si="1"/>
        <v>102</v>
      </c>
      <c r="C104" s="1" t="s">
        <v>262</v>
      </c>
      <c r="D104" s="2" t="s">
        <v>167</v>
      </c>
      <c r="E104" s="2" t="s">
        <v>33</v>
      </c>
      <c r="F104" s="2" t="s">
        <v>17</v>
      </c>
      <c r="G104" s="2" t="s">
        <v>71</v>
      </c>
      <c r="H104" s="2" t="s">
        <v>29</v>
      </c>
      <c r="I104" s="4">
        <v>45451</v>
      </c>
      <c r="J104" s="4">
        <v>45271</v>
      </c>
      <c r="K104" s="2" t="s">
        <v>77</v>
      </c>
      <c r="L104" s="2" t="s">
        <v>21</v>
      </c>
      <c r="M104" s="2" t="s">
        <v>30</v>
      </c>
      <c r="N104" s="2" t="s">
        <v>23</v>
      </c>
      <c r="O104" s="2" t="s">
        <v>24</v>
      </c>
      <c r="P104" s="2" t="s">
        <v>863</v>
      </c>
      <c r="Q104" s="9">
        <v>65143</v>
      </c>
    </row>
    <row r="105" spans="2:17" x14ac:dyDescent="0.25">
      <c r="B105" s="1">
        <f t="shared" si="1"/>
        <v>103</v>
      </c>
      <c r="C105" s="1" t="s">
        <v>263</v>
      </c>
      <c r="D105" s="2" t="s">
        <v>170</v>
      </c>
      <c r="E105" s="2" t="s">
        <v>33</v>
      </c>
      <c r="F105" s="2" t="s">
        <v>17</v>
      </c>
      <c r="G105" s="2" t="s">
        <v>71</v>
      </c>
      <c r="H105" s="2" t="s">
        <v>29</v>
      </c>
      <c r="I105" s="4">
        <v>45451</v>
      </c>
      <c r="J105" s="4">
        <v>45271</v>
      </c>
      <c r="K105" s="2" t="s">
        <v>77</v>
      </c>
      <c r="L105" s="2" t="s">
        <v>21</v>
      </c>
      <c r="M105" s="2" t="s">
        <v>22</v>
      </c>
      <c r="N105" s="2" t="s">
        <v>23</v>
      </c>
      <c r="O105" s="2" t="s">
        <v>24</v>
      </c>
      <c r="P105" s="2" t="s">
        <v>863</v>
      </c>
      <c r="Q105" s="9">
        <v>10000</v>
      </c>
    </row>
    <row r="106" spans="2:17" x14ac:dyDescent="0.25">
      <c r="B106" s="1">
        <f t="shared" si="1"/>
        <v>104</v>
      </c>
      <c r="C106" s="1" t="s">
        <v>264</v>
      </c>
      <c r="D106" s="2" t="s">
        <v>173</v>
      </c>
      <c r="E106" s="2" t="s">
        <v>33</v>
      </c>
      <c r="F106" s="2" t="s">
        <v>17</v>
      </c>
      <c r="G106" s="2" t="s">
        <v>71</v>
      </c>
      <c r="H106" s="2" t="s">
        <v>29</v>
      </c>
      <c r="I106" s="4">
        <v>45451</v>
      </c>
      <c r="J106" s="4">
        <v>45271</v>
      </c>
      <c r="K106" s="2" t="s">
        <v>20</v>
      </c>
      <c r="L106" s="2" t="s">
        <v>21</v>
      </c>
      <c r="M106" s="2" t="s">
        <v>30</v>
      </c>
      <c r="N106" s="2" t="s">
        <v>23</v>
      </c>
      <c r="O106" s="2" t="s">
        <v>24</v>
      </c>
      <c r="P106" s="2" t="s">
        <v>863</v>
      </c>
      <c r="Q106" s="9">
        <v>10000</v>
      </c>
    </row>
    <row r="107" spans="2:17" x14ac:dyDescent="0.25">
      <c r="B107" s="1">
        <f t="shared" si="1"/>
        <v>105</v>
      </c>
      <c r="C107" s="1" t="s">
        <v>265</v>
      </c>
      <c r="D107" s="2" t="s">
        <v>175</v>
      </c>
      <c r="E107" s="2" t="s">
        <v>40</v>
      </c>
      <c r="F107" s="2" t="s">
        <v>17</v>
      </c>
      <c r="G107" s="2" t="s">
        <v>71</v>
      </c>
      <c r="H107" s="2" t="s">
        <v>29</v>
      </c>
      <c r="I107" s="4">
        <v>45451</v>
      </c>
      <c r="J107" s="4">
        <v>45271</v>
      </c>
      <c r="K107" s="2" t="s">
        <v>20</v>
      </c>
      <c r="L107" s="2" t="s">
        <v>21</v>
      </c>
      <c r="M107" s="2" t="s">
        <v>54</v>
      </c>
      <c r="N107" s="2" t="s">
        <v>23</v>
      </c>
      <c r="O107" s="2" t="s">
        <v>24</v>
      </c>
      <c r="P107" s="2" t="s">
        <v>863</v>
      </c>
      <c r="Q107" s="9">
        <v>5000</v>
      </c>
    </row>
    <row r="108" spans="2:17" x14ac:dyDescent="0.25">
      <c r="B108" s="1">
        <f t="shared" si="1"/>
        <v>106</v>
      </c>
      <c r="C108" s="1" t="s">
        <v>266</v>
      </c>
      <c r="D108" s="2" t="s">
        <v>178</v>
      </c>
      <c r="E108" s="2" t="s">
        <v>33</v>
      </c>
      <c r="F108" s="2" t="s">
        <v>17</v>
      </c>
      <c r="G108" s="2" t="s">
        <v>71</v>
      </c>
      <c r="H108" s="2" t="s">
        <v>29</v>
      </c>
      <c r="I108" s="4">
        <v>45451</v>
      </c>
      <c r="J108" s="4">
        <v>45271</v>
      </c>
      <c r="K108" s="2" t="s">
        <v>20</v>
      </c>
      <c r="L108" s="2" t="s">
        <v>21</v>
      </c>
      <c r="M108" s="2" t="s">
        <v>22</v>
      </c>
      <c r="N108" s="2" t="s">
        <v>23</v>
      </c>
      <c r="O108" s="2" t="s">
        <v>24</v>
      </c>
      <c r="P108" s="2" t="s">
        <v>863</v>
      </c>
      <c r="Q108" s="9">
        <v>5000</v>
      </c>
    </row>
    <row r="109" spans="2:17" x14ac:dyDescent="0.25">
      <c r="B109" s="1">
        <f t="shared" si="1"/>
        <v>107</v>
      </c>
      <c r="C109" s="1" t="s">
        <v>267</v>
      </c>
      <c r="D109" s="2" t="s">
        <v>180</v>
      </c>
      <c r="E109" s="2" t="s">
        <v>33</v>
      </c>
      <c r="F109" s="2" t="s">
        <v>17</v>
      </c>
      <c r="G109" s="2" t="s">
        <v>71</v>
      </c>
      <c r="H109" s="2" t="s">
        <v>29</v>
      </c>
      <c r="I109" s="4">
        <v>45451</v>
      </c>
      <c r="J109" s="4">
        <v>45271</v>
      </c>
      <c r="K109" s="2" t="s">
        <v>20</v>
      </c>
      <c r="L109" s="2" t="s">
        <v>21</v>
      </c>
      <c r="M109" s="2" t="s">
        <v>22</v>
      </c>
      <c r="N109" s="2" t="s">
        <v>23</v>
      </c>
      <c r="O109" s="2" t="s">
        <v>24</v>
      </c>
      <c r="P109" s="2" t="s">
        <v>863</v>
      </c>
      <c r="Q109" s="9">
        <v>5000</v>
      </c>
    </row>
    <row r="110" spans="2:17" x14ac:dyDescent="0.25">
      <c r="B110" s="1">
        <f t="shared" si="1"/>
        <v>108</v>
      </c>
      <c r="C110" s="1" t="s">
        <v>268</v>
      </c>
      <c r="D110" s="2" t="s">
        <v>182</v>
      </c>
      <c r="E110" s="2" t="s">
        <v>33</v>
      </c>
      <c r="F110" s="2" t="s">
        <v>17</v>
      </c>
      <c r="G110" s="2" t="s">
        <v>71</v>
      </c>
      <c r="H110" s="2" t="s">
        <v>29</v>
      </c>
      <c r="I110" s="4">
        <v>45451</v>
      </c>
      <c r="J110" s="4">
        <v>45271</v>
      </c>
      <c r="K110" s="2" t="s">
        <v>20</v>
      </c>
      <c r="L110" s="2" t="s">
        <v>21</v>
      </c>
      <c r="M110" s="2" t="s">
        <v>30</v>
      </c>
      <c r="N110" s="2" t="s">
        <v>65</v>
      </c>
      <c r="O110" s="2" t="s">
        <v>37</v>
      </c>
      <c r="P110" s="2" t="s">
        <v>863</v>
      </c>
      <c r="Q110" s="9">
        <v>5000</v>
      </c>
    </row>
    <row r="111" spans="2:17" x14ac:dyDescent="0.25">
      <c r="B111" s="1">
        <f t="shared" si="1"/>
        <v>109</v>
      </c>
      <c r="C111" s="1" t="s">
        <v>269</v>
      </c>
      <c r="D111" s="2" t="s">
        <v>270</v>
      </c>
      <c r="E111" s="2" t="s">
        <v>40</v>
      </c>
      <c r="F111" s="2" t="s">
        <v>17</v>
      </c>
      <c r="G111" s="2" t="s">
        <v>71</v>
      </c>
      <c r="H111" s="2" t="s">
        <v>29</v>
      </c>
      <c r="I111" s="4">
        <v>45451</v>
      </c>
      <c r="J111" s="4">
        <v>45271</v>
      </c>
      <c r="K111" s="2" t="s">
        <v>20</v>
      </c>
      <c r="L111" s="2" t="s">
        <v>21</v>
      </c>
      <c r="M111" s="2" t="s">
        <v>22</v>
      </c>
      <c r="N111" s="2" t="s">
        <v>120</v>
      </c>
      <c r="O111" s="2" t="s">
        <v>43</v>
      </c>
      <c r="P111" s="2" t="s">
        <v>863</v>
      </c>
      <c r="Q111" s="9">
        <v>5000</v>
      </c>
    </row>
    <row r="112" spans="2:17" x14ac:dyDescent="0.25">
      <c r="B112" s="1">
        <f t="shared" si="1"/>
        <v>110</v>
      </c>
      <c r="C112" s="1" t="s">
        <v>271</v>
      </c>
      <c r="D112" s="2" t="s">
        <v>272</v>
      </c>
      <c r="E112" s="2" t="s">
        <v>33</v>
      </c>
      <c r="F112" s="2" t="s">
        <v>17</v>
      </c>
      <c r="G112" s="2" t="s">
        <v>71</v>
      </c>
      <c r="H112" s="2" t="s">
        <v>29</v>
      </c>
      <c r="I112" s="4">
        <v>45451</v>
      </c>
      <c r="J112" s="4">
        <v>45271</v>
      </c>
      <c r="K112" s="2" t="s">
        <v>20</v>
      </c>
      <c r="L112" s="2" t="s">
        <v>21</v>
      </c>
      <c r="M112" s="2" t="s">
        <v>68</v>
      </c>
      <c r="N112" s="2" t="s">
        <v>115</v>
      </c>
      <c r="O112" s="2" t="s">
        <v>24</v>
      </c>
      <c r="P112" s="2" t="s">
        <v>863</v>
      </c>
      <c r="Q112" s="9">
        <v>5000</v>
      </c>
    </row>
    <row r="113" spans="2:17" x14ac:dyDescent="0.25">
      <c r="B113" s="1">
        <f t="shared" si="1"/>
        <v>111</v>
      </c>
      <c r="C113" s="1" t="s">
        <v>273</v>
      </c>
      <c r="D113" s="2" t="s">
        <v>15</v>
      </c>
      <c r="E113" s="2" t="s">
        <v>33</v>
      </c>
      <c r="F113" s="2" t="s">
        <v>17</v>
      </c>
      <c r="G113" s="2" t="s">
        <v>71</v>
      </c>
      <c r="H113" s="2" t="s">
        <v>29</v>
      </c>
      <c r="I113" s="4">
        <v>45451</v>
      </c>
      <c r="J113" s="4">
        <v>45271</v>
      </c>
      <c r="K113" s="2" t="s">
        <v>77</v>
      </c>
      <c r="L113" s="2" t="s">
        <v>21</v>
      </c>
      <c r="M113" s="2" t="s">
        <v>22</v>
      </c>
      <c r="N113" s="2" t="s">
        <v>23</v>
      </c>
      <c r="O113" s="2" t="s">
        <v>24</v>
      </c>
      <c r="P113" s="2" t="s">
        <v>863</v>
      </c>
      <c r="Q113" s="9">
        <v>5000</v>
      </c>
    </row>
    <row r="114" spans="2:17" x14ac:dyDescent="0.25">
      <c r="B114" s="1">
        <f t="shared" si="1"/>
        <v>112</v>
      </c>
      <c r="C114" s="1" t="s">
        <v>274</v>
      </c>
      <c r="D114" s="2" t="s">
        <v>26</v>
      </c>
      <c r="E114" s="2" t="s">
        <v>201</v>
      </c>
      <c r="F114" s="2" t="s">
        <v>17</v>
      </c>
      <c r="G114" s="2" t="s">
        <v>71</v>
      </c>
      <c r="H114" s="2" t="s">
        <v>29</v>
      </c>
      <c r="I114" s="4">
        <v>45451</v>
      </c>
      <c r="J114" s="4">
        <v>45271</v>
      </c>
      <c r="K114" s="2" t="s">
        <v>20</v>
      </c>
      <c r="L114" s="2" t="s">
        <v>21</v>
      </c>
      <c r="M114" s="2" t="s">
        <v>35</v>
      </c>
      <c r="N114" s="2" t="s">
        <v>275</v>
      </c>
      <c r="O114" s="2" t="s">
        <v>47</v>
      </c>
      <c r="P114" s="2" t="s">
        <v>863</v>
      </c>
      <c r="Q114" s="9">
        <v>5000</v>
      </c>
    </row>
    <row r="115" spans="2:17" x14ac:dyDescent="0.25">
      <c r="B115" s="1">
        <f t="shared" si="1"/>
        <v>113</v>
      </c>
      <c r="C115" s="1" t="s">
        <v>276</v>
      </c>
      <c r="D115" s="2" t="s">
        <v>32</v>
      </c>
      <c r="E115" s="2" t="s">
        <v>33</v>
      </c>
      <c r="F115" s="2" t="s">
        <v>17</v>
      </c>
      <c r="G115" s="2" t="s">
        <v>71</v>
      </c>
      <c r="H115" s="2" t="s">
        <v>29</v>
      </c>
      <c r="I115" s="4">
        <v>45451</v>
      </c>
      <c r="J115" s="4">
        <v>45271</v>
      </c>
      <c r="K115" s="2" t="s">
        <v>20</v>
      </c>
      <c r="L115" s="2" t="s">
        <v>21</v>
      </c>
      <c r="M115" s="2" t="s">
        <v>35</v>
      </c>
      <c r="N115" s="2" t="s">
        <v>23</v>
      </c>
      <c r="O115" s="2" t="s">
        <v>24</v>
      </c>
      <c r="P115" s="2" t="s">
        <v>863</v>
      </c>
      <c r="Q115" s="9">
        <v>5000</v>
      </c>
    </row>
    <row r="116" spans="2:17" x14ac:dyDescent="0.25">
      <c r="B116" s="1">
        <f t="shared" si="1"/>
        <v>114</v>
      </c>
      <c r="C116" s="1" t="s">
        <v>277</v>
      </c>
      <c r="D116" s="2" t="s">
        <v>39</v>
      </c>
      <c r="E116" s="2" t="s">
        <v>16</v>
      </c>
      <c r="F116" s="2" t="s">
        <v>17</v>
      </c>
      <c r="G116" s="2" t="s">
        <v>71</v>
      </c>
      <c r="H116" s="2" t="s">
        <v>29</v>
      </c>
      <c r="I116" s="4">
        <v>45451</v>
      </c>
      <c r="J116" s="4">
        <v>45271</v>
      </c>
      <c r="K116" s="2" t="s">
        <v>20</v>
      </c>
      <c r="L116" s="2" t="s">
        <v>21</v>
      </c>
      <c r="M116" s="2" t="s">
        <v>35</v>
      </c>
      <c r="N116" s="2" t="s">
        <v>278</v>
      </c>
      <c r="O116" s="2" t="s">
        <v>279</v>
      </c>
      <c r="P116" s="2" t="s">
        <v>863</v>
      </c>
      <c r="Q116" s="9">
        <v>5000</v>
      </c>
    </row>
    <row r="117" spans="2:17" x14ac:dyDescent="0.25">
      <c r="B117" s="1">
        <f t="shared" si="1"/>
        <v>115</v>
      </c>
      <c r="C117" s="1" t="s">
        <v>280</v>
      </c>
      <c r="D117" s="2" t="s">
        <v>45</v>
      </c>
      <c r="E117" s="2" t="s">
        <v>33</v>
      </c>
      <c r="F117" s="2" t="s">
        <v>176</v>
      </c>
      <c r="G117" s="2" t="s">
        <v>71</v>
      </c>
      <c r="H117" s="2" t="s">
        <v>29</v>
      </c>
      <c r="I117" s="4">
        <v>45451</v>
      </c>
      <c r="J117" s="4">
        <v>45271</v>
      </c>
      <c r="K117" s="2" t="s">
        <v>20</v>
      </c>
      <c r="L117" s="2" t="s">
        <v>21</v>
      </c>
      <c r="M117" s="2" t="s">
        <v>30</v>
      </c>
      <c r="N117" s="2" t="s">
        <v>65</v>
      </c>
      <c r="O117" s="2" t="s">
        <v>37</v>
      </c>
      <c r="P117" s="2" t="s">
        <v>863</v>
      </c>
      <c r="Q117" s="9">
        <v>5000</v>
      </c>
    </row>
    <row r="118" spans="2:17" x14ac:dyDescent="0.25">
      <c r="B118" s="1">
        <f t="shared" si="1"/>
        <v>116</v>
      </c>
      <c r="C118" s="1" t="s">
        <v>281</v>
      </c>
      <c r="D118" s="2" t="s">
        <v>49</v>
      </c>
      <c r="E118" s="2" t="s">
        <v>33</v>
      </c>
      <c r="F118" s="2" t="s">
        <v>165</v>
      </c>
      <c r="G118" s="2" t="s">
        <v>71</v>
      </c>
      <c r="H118" s="2" t="s">
        <v>29</v>
      </c>
      <c r="I118" s="4">
        <v>45452</v>
      </c>
      <c r="J118" s="4">
        <v>45272</v>
      </c>
      <c r="K118" s="2" t="s">
        <v>20</v>
      </c>
      <c r="L118" s="2" t="s">
        <v>21</v>
      </c>
      <c r="M118" s="2" t="s">
        <v>35</v>
      </c>
      <c r="N118" s="2" t="s">
        <v>23</v>
      </c>
      <c r="O118" s="2" t="s">
        <v>24</v>
      </c>
      <c r="P118" s="2" t="s">
        <v>863</v>
      </c>
      <c r="Q118" s="9">
        <v>5000</v>
      </c>
    </row>
    <row r="119" spans="2:17" x14ac:dyDescent="0.25">
      <c r="B119" s="1">
        <f t="shared" si="1"/>
        <v>117</v>
      </c>
      <c r="C119" s="1" t="s">
        <v>282</v>
      </c>
      <c r="D119" s="2" t="s">
        <v>51</v>
      </c>
      <c r="E119" s="2" t="s">
        <v>33</v>
      </c>
      <c r="F119" s="2" t="s">
        <v>165</v>
      </c>
      <c r="G119" s="2" t="s">
        <v>71</v>
      </c>
      <c r="H119" s="2" t="s">
        <v>29</v>
      </c>
      <c r="I119" s="4">
        <v>45452</v>
      </c>
      <c r="J119" s="4">
        <v>45272</v>
      </c>
      <c r="K119" s="2" t="s">
        <v>20</v>
      </c>
      <c r="L119" s="2" t="s">
        <v>21</v>
      </c>
      <c r="M119" s="2" t="s">
        <v>22</v>
      </c>
      <c r="N119" s="2" t="s">
        <v>23</v>
      </c>
      <c r="O119" s="2" t="s">
        <v>24</v>
      </c>
      <c r="P119" s="2" t="s">
        <v>863</v>
      </c>
      <c r="Q119" s="9">
        <v>5000</v>
      </c>
    </row>
    <row r="120" spans="2:17" x14ac:dyDescent="0.25">
      <c r="B120" s="1">
        <f t="shared" si="1"/>
        <v>118</v>
      </c>
      <c r="C120" s="1" t="s">
        <v>283</v>
      </c>
      <c r="D120" s="2" t="s">
        <v>53</v>
      </c>
      <c r="E120" s="2" t="s">
        <v>40</v>
      </c>
      <c r="F120" s="2" t="s">
        <v>165</v>
      </c>
      <c r="G120" s="2" t="s">
        <v>71</v>
      </c>
      <c r="H120" s="2" t="s">
        <v>29</v>
      </c>
      <c r="I120" s="4">
        <v>45452</v>
      </c>
      <c r="J120" s="4">
        <v>45272</v>
      </c>
      <c r="K120" s="2" t="s">
        <v>20</v>
      </c>
      <c r="L120" s="2" t="s">
        <v>21</v>
      </c>
      <c r="M120" s="2" t="s">
        <v>22</v>
      </c>
      <c r="N120" s="2" t="s">
        <v>92</v>
      </c>
      <c r="O120" s="2" t="s">
        <v>43</v>
      </c>
      <c r="P120" s="2" t="s">
        <v>863</v>
      </c>
      <c r="Q120" s="9">
        <v>5000</v>
      </c>
    </row>
    <row r="121" spans="2:17" x14ac:dyDescent="0.25">
      <c r="B121" s="1">
        <f t="shared" si="1"/>
        <v>119</v>
      </c>
      <c r="C121" s="1" t="s">
        <v>284</v>
      </c>
      <c r="D121" s="2" t="s">
        <v>56</v>
      </c>
      <c r="E121" s="2" t="s">
        <v>16</v>
      </c>
      <c r="F121" s="2" t="s">
        <v>165</v>
      </c>
      <c r="G121" s="2" t="s">
        <v>71</v>
      </c>
      <c r="H121" s="2" t="s">
        <v>29</v>
      </c>
      <c r="I121" s="4">
        <v>45452</v>
      </c>
      <c r="J121" s="4">
        <v>45272</v>
      </c>
      <c r="K121" s="2" t="s">
        <v>20</v>
      </c>
      <c r="L121" s="2" t="s">
        <v>21</v>
      </c>
      <c r="M121" s="2" t="s">
        <v>30</v>
      </c>
      <c r="N121" s="2" t="s">
        <v>285</v>
      </c>
      <c r="O121" s="2" t="s">
        <v>43</v>
      </c>
      <c r="P121" s="2" t="s">
        <v>863</v>
      </c>
      <c r="Q121" s="9">
        <v>5000</v>
      </c>
    </row>
    <row r="122" spans="2:17" x14ac:dyDescent="0.25">
      <c r="B122" s="1">
        <f t="shared" si="1"/>
        <v>120</v>
      </c>
      <c r="C122" s="1" t="s">
        <v>286</v>
      </c>
      <c r="D122" s="2" t="s">
        <v>58</v>
      </c>
      <c r="E122" s="2" t="s">
        <v>16</v>
      </c>
      <c r="F122" s="2" t="s">
        <v>165</v>
      </c>
      <c r="G122" s="2" t="s">
        <v>71</v>
      </c>
      <c r="H122" s="2" t="s">
        <v>29</v>
      </c>
      <c r="I122" s="4">
        <v>45452</v>
      </c>
      <c r="J122" s="4">
        <v>45272</v>
      </c>
      <c r="K122" s="2" t="s">
        <v>20</v>
      </c>
      <c r="L122" s="2" t="s">
        <v>21</v>
      </c>
      <c r="M122" s="2" t="s">
        <v>111</v>
      </c>
      <c r="N122" s="2" t="s">
        <v>216</v>
      </c>
      <c r="O122" s="2" t="s">
        <v>24</v>
      </c>
      <c r="P122" s="2" t="s">
        <v>863</v>
      </c>
      <c r="Q122" s="9">
        <v>5000</v>
      </c>
    </row>
    <row r="123" spans="2:17" x14ac:dyDescent="0.25">
      <c r="B123" s="1">
        <f t="shared" si="1"/>
        <v>121</v>
      </c>
      <c r="C123" s="1" t="s">
        <v>287</v>
      </c>
      <c r="D123" s="2" t="s">
        <v>60</v>
      </c>
      <c r="E123" s="2" t="s">
        <v>201</v>
      </c>
      <c r="F123" s="2" t="s">
        <v>190</v>
      </c>
      <c r="G123" s="2" t="s">
        <v>71</v>
      </c>
      <c r="H123" s="2" t="s">
        <v>29</v>
      </c>
      <c r="I123" s="4">
        <v>45452</v>
      </c>
      <c r="J123" s="4">
        <v>45272</v>
      </c>
      <c r="K123" s="2" t="s">
        <v>20</v>
      </c>
      <c r="L123" s="2" t="s">
        <v>34</v>
      </c>
      <c r="M123" s="2" t="s">
        <v>22</v>
      </c>
      <c r="N123" s="2" t="s">
        <v>288</v>
      </c>
      <c r="O123" s="2" t="s">
        <v>37</v>
      </c>
      <c r="P123" s="2" t="s">
        <v>863</v>
      </c>
      <c r="Q123" s="9">
        <v>5000</v>
      </c>
    </row>
    <row r="124" spans="2:17" x14ac:dyDescent="0.25">
      <c r="B124" s="1">
        <f t="shared" si="1"/>
        <v>122</v>
      </c>
      <c r="C124" s="1" t="s">
        <v>289</v>
      </c>
      <c r="D124" s="2" t="s">
        <v>62</v>
      </c>
      <c r="E124" s="2" t="s">
        <v>201</v>
      </c>
      <c r="F124" s="2" t="s">
        <v>171</v>
      </c>
      <c r="G124" s="2" t="s">
        <v>71</v>
      </c>
      <c r="H124" s="2" t="s">
        <v>29</v>
      </c>
      <c r="I124" s="4">
        <v>45452</v>
      </c>
      <c r="J124" s="4">
        <v>45272</v>
      </c>
      <c r="K124" s="2" t="s">
        <v>20</v>
      </c>
      <c r="L124" s="2" t="s">
        <v>21</v>
      </c>
      <c r="M124" s="2" t="s">
        <v>22</v>
      </c>
      <c r="N124" s="2" t="s">
        <v>168</v>
      </c>
      <c r="O124" s="2" t="s">
        <v>47</v>
      </c>
      <c r="P124" s="2" t="s">
        <v>863</v>
      </c>
      <c r="Q124" s="9">
        <v>5000</v>
      </c>
    </row>
    <row r="125" spans="2:17" x14ac:dyDescent="0.25">
      <c r="B125" s="1">
        <f t="shared" si="1"/>
        <v>123</v>
      </c>
      <c r="C125" s="1" t="s">
        <v>290</v>
      </c>
      <c r="D125" s="2" t="s">
        <v>64</v>
      </c>
      <c r="E125" s="2" t="s">
        <v>16</v>
      </c>
      <c r="F125" s="2" t="s">
        <v>195</v>
      </c>
      <c r="G125" s="2" t="s">
        <v>71</v>
      </c>
      <c r="H125" s="2" t="s">
        <v>29</v>
      </c>
      <c r="I125" s="4">
        <v>45452</v>
      </c>
      <c r="J125" s="4">
        <v>45272</v>
      </c>
      <c r="K125" s="2" t="s">
        <v>20</v>
      </c>
      <c r="L125" s="2" t="s">
        <v>21</v>
      </c>
      <c r="M125" s="2" t="s">
        <v>22</v>
      </c>
      <c r="N125" s="2" t="s">
        <v>36</v>
      </c>
      <c r="O125" s="2" t="s">
        <v>37</v>
      </c>
      <c r="P125" s="2" t="s">
        <v>863</v>
      </c>
      <c r="Q125" s="9">
        <v>5000</v>
      </c>
    </row>
    <row r="126" spans="2:17" x14ac:dyDescent="0.25">
      <c r="B126" s="1">
        <f t="shared" si="1"/>
        <v>124</v>
      </c>
      <c r="C126" s="1" t="s">
        <v>291</v>
      </c>
      <c r="D126" s="2" t="s">
        <v>67</v>
      </c>
      <c r="E126" s="2" t="s">
        <v>16</v>
      </c>
      <c r="F126" s="2" t="s">
        <v>198</v>
      </c>
      <c r="G126" s="2" t="s">
        <v>71</v>
      </c>
      <c r="H126" s="2" t="s">
        <v>29</v>
      </c>
      <c r="I126" s="4">
        <v>45452</v>
      </c>
      <c r="J126" s="4">
        <v>45272</v>
      </c>
      <c r="K126" s="2" t="s">
        <v>20</v>
      </c>
      <c r="L126" s="2" t="s">
        <v>21</v>
      </c>
      <c r="M126" s="2" t="s">
        <v>30</v>
      </c>
      <c r="N126" s="2" t="s">
        <v>23</v>
      </c>
      <c r="O126" s="2" t="s">
        <v>24</v>
      </c>
      <c r="P126" s="2" t="s">
        <v>863</v>
      </c>
      <c r="Q126" s="9">
        <v>5000</v>
      </c>
    </row>
    <row r="127" spans="2:17" x14ac:dyDescent="0.25">
      <c r="B127" s="1">
        <f t="shared" si="1"/>
        <v>125</v>
      </c>
      <c r="C127" s="1" t="s">
        <v>292</v>
      </c>
      <c r="D127" s="2" t="s">
        <v>70</v>
      </c>
      <c r="E127" s="2" t="s">
        <v>16</v>
      </c>
      <c r="F127" s="2" t="s">
        <v>17</v>
      </c>
      <c r="G127" s="2" t="s">
        <v>71</v>
      </c>
      <c r="H127" s="2" t="s">
        <v>29</v>
      </c>
      <c r="I127" s="4">
        <v>45452</v>
      </c>
      <c r="J127" s="4">
        <v>45272</v>
      </c>
      <c r="K127" s="2" t="s">
        <v>20</v>
      </c>
      <c r="L127" s="2" t="s">
        <v>21</v>
      </c>
      <c r="M127" s="2" t="s">
        <v>22</v>
      </c>
      <c r="N127" s="2" t="s">
        <v>23</v>
      </c>
      <c r="O127" s="2" t="s">
        <v>24</v>
      </c>
      <c r="P127" s="2" t="s">
        <v>863</v>
      </c>
      <c r="Q127" s="9">
        <v>5000</v>
      </c>
    </row>
    <row r="128" spans="2:17" x14ac:dyDescent="0.25">
      <c r="B128" s="1">
        <f t="shared" si="1"/>
        <v>126</v>
      </c>
      <c r="C128" s="1" t="s">
        <v>293</v>
      </c>
      <c r="D128" s="2" t="s">
        <v>73</v>
      </c>
      <c r="E128" s="2" t="s">
        <v>16</v>
      </c>
      <c r="F128" s="2" t="s">
        <v>17</v>
      </c>
      <c r="G128" s="2" t="s">
        <v>71</v>
      </c>
      <c r="H128" s="2" t="s">
        <v>29</v>
      </c>
      <c r="I128" s="4">
        <v>45452</v>
      </c>
      <c r="J128" s="4">
        <v>45272</v>
      </c>
      <c r="K128" s="2" t="s">
        <v>20</v>
      </c>
      <c r="L128" s="2" t="s">
        <v>21</v>
      </c>
      <c r="M128" s="2" t="s">
        <v>35</v>
      </c>
      <c r="N128" s="2" t="s">
        <v>294</v>
      </c>
      <c r="O128" s="2" t="s">
        <v>43</v>
      </c>
      <c r="P128" s="2" t="s">
        <v>863</v>
      </c>
      <c r="Q128" s="9">
        <v>52542</v>
      </c>
    </row>
    <row r="129" spans="2:17" x14ac:dyDescent="0.25">
      <c r="B129" s="1">
        <f t="shared" si="1"/>
        <v>127</v>
      </c>
      <c r="C129" s="1" t="s">
        <v>295</v>
      </c>
      <c r="D129" s="2" t="s">
        <v>75</v>
      </c>
      <c r="E129" s="2" t="s">
        <v>40</v>
      </c>
      <c r="F129" s="2" t="s">
        <v>17</v>
      </c>
      <c r="G129" s="2" t="s">
        <v>71</v>
      </c>
      <c r="H129" s="2" t="s">
        <v>29</v>
      </c>
      <c r="I129" s="4">
        <v>45452</v>
      </c>
      <c r="J129" s="4">
        <v>45272</v>
      </c>
      <c r="K129" s="2" t="s">
        <v>77</v>
      </c>
      <c r="L129" s="2" t="s">
        <v>34</v>
      </c>
      <c r="M129" s="2" t="s">
        <v>35</v>
      </c>
      <c r="N129" s="2" t="s">
        <v>216</v>
      </c>
      <c r="O129" s="2" t="s">
        <v>24</v>
      </c>
      <c r="P129" s="2" t="s">
        <v>863</v>
      </c>
      <c r="Q129" s="9">
        <v>5000</v>
      </c>
    </row>
    <row r="130" spans="2:17" x14ac:dyDescent="0.25">
      <c r="B130" s="1">
        <f t="shared" si="1"/>
        <v>128</v>
      </c>
      <c r="C130" s="1" t="s">
        <v>296</v>
      </c>
      <c r="D130" s="2" t="s">
        <v>79</v>
      </c>
      <c r="E130" s="2" t="s">
        <v>33</v>
      </c>
      <c r="F130" s="2" t="s">
        <v>17</v>
      </c>
      <c r="G130" s="2" t="s">
        <v>71</v>
      </c>
      <c r="H130" s="2" t="s">
        <v>29</v>
      </c>
      <c r="I130" s="4">
        <v>45452</v>
      </c>
      <c r="J130" s="4">
        <v>45272</v>
      </c>
      <c r="K130" s="2" t="s">
        <v>20</v>
      </c>
      <c r="L130" s="2" t="s">
        <v>21</v>
      </c>
      <c r="M130" s="2" t="s">
        <v>30</v>
      </c>
      <c r="N130" s="2" t="s">
        <v>216</v>
      </c>
      <c r="O130" s="2" t="s">
        <v>24</v>
      </c>
      <c r="P130" s="2" t="s">
        <v>863</v>
      </c>
      <c r="Q130" s="9">
        <v>5000</v>
      </c>
    </row>
    <row r="131" spans="2:17" x14ac:dyDescent="0.25">
      <c r="B131" s="1">
        <f t="shared" ref="B131:B194" si="2">ROW(B129)</f>
        <v>129</v>
      </c>
      <c r="C131" s="1" t="s">
        <v>297</v>
      </c>
      <c r="D131" s="2" t="s">
        <v>81</v>
      </c>
      <c r="E131" s="2" t="s">
        <v>33</v>
      </c>
      <c r="F131" s="2" t="s">
        <v>17</v>
      </c>
      <c r="G131" s="2" t="s">
        <v>71</v>
      </c>
      <c r="H131" s="2" t="s">
        <v>29</v>
      </c>
      <c r="I131" s="4">
        <v>45452</v>
      </c>
      <c r="J131" s="4">
        <v>45272</v>
      </c>
      <c r="K131" s="2" t="s">
        <v>20</v>
      </c>
      <c r="L131" s="2" t="s">
        <v>21</v>
      </c>
      <c r="M131" s="2" t="s">
        <v>22</v>
      </c>
      <c r="N131" s="2" t="s">
        <v>216</v>
      </c>
      <c r="O131" s="2" t="s">
        <v>24</v>
      </c>
      <c r="P131" s="2" t="s">
        <v>863</v>
      </c>
      <c r="Q131" s="9">
        <v>5000</v>
      </c>
    </row>
    <row r="132" spans="2:17" x14ac:dyDescent="0.25">
      <c r="B132" s="1">
        <f t="shared" si="2"/>
        <v>130</v>
      </c>
      <c r="C132" s="1" t="s">
        <v>298</v>
      </c>
      <c r="D132" s="2" t="s">
        <v>83</v>
      </c>
      <c r="E132" s="2" t="s">
        <v>33</v>
      </c>
      <c r="F132" s="2" t="s">
        <v>17</v>
      </c>
      <c r="G132" s="2" t="s">
        <v>71</v>
      </c>
      <c r="H132" s="2" t="s">
        <v>29</v>
      </c>
      <c r="I132" s="4">
        <v>45452</v>
      </c>
      <c r="J132" s="4">
        <v>45272</v>
      </c>
      <c r="K132" s="2" t="s">
        <v>20</v>
      </c>
      <c r="L132" s="2" t="s">
        <v>21</v>
      </c>
      <c r="M132" s="2" t="s">
        <v>30</v>
      </c>
      <c r="N132" s="2" t="s">
        <v>216</v>
      </c>
      <c r="O132" s="2" t="s">
        <v>24</v>
      </c>
      <c r="P132" s="2" t="s">
        <v>863</v>
      </c>
      <c r="Q132" s="9">
        <v>5000</v>
      </c>
    </row>
    <row r="133" spans="2:17" x14ac:dyDescent="0.25">
      <c r="B133" s="1">
        <f t="shared" si="2"/>
        <v>131</v>
      </c>
      <c r="C133" s="1" t="s">
        <v>299</v>
      </c>
      <c r="D133" s="2" t="s">
        <v>85</v>
      </c>
      <c r="E133" s="2" t="s">
        <v>40</v>
      </c>
      <c r="F133" s="2" t="s">
        <v>17</v>
      </c>
      <c r="G133" s="2" t="s">
        <v>71</v>
      </c>
      <c r="H133" s="2" t="s">
        <v>29</v>
      </c>
      <c r="I133" s="4">
        <v>45452</v>
      </c>
      <c r="J133" s="4">
        <v>45272</v>
      </c>
      <c r="K133" s="2" t="s">
        <v>20</v>
      </c>
      <c r="L133" s="2" t="s">
        <v>34</v>
      </c>
      <c r="M133" s="2" t="s">
        <v>22</v>
      </c>
      <c r="N133" s="2" t="s">
        <v>216</v>
      </c>
      <c r="O133" s="2" t="s">
        <v>24</v>
      </c>
      <c r="P133" s="2" t="s">
        <v>863</v>
      </c>
      <c r="Q133" s="9">
        <v>5000</v>
      </c>
    </row>
    <row r="134" spans="2:17" x14ac:dyDescent="0.25">
      <c r="B134" s="1">
        <f t="shared" si="2"/>
        <v>132</v>
      </c>
      <c r="C134" s="1" t="s">
        <v>300</v>
      </c>
      <c r="D134" s="2" t="s">
        <v>87</v>
      </c>
      <c r="E134" s="2" t="s">
        <v>33</v>
      </c>
      <c r="F134" s="2" t="s">
        <v>17</v>
      </c>
      <c r="G134" s="2" t="s">
        <v>71</v>
      </c>
      <c r="H134" s="2" t="s">
        <v>29</v>
      </c>
      <c r="I134" s="4">
        <v>45452</v>
      </c>
      <c r="J134" s="4">
        <v>45272</v>
      </c>
      <c r="K134" s="2" t="s">
        <v>20</v>
      </c>
      <c r="L134" s="2" t="s">
        <v>21</v>
      </c>
      <c r="M134" s="2" t="s">
        <v>111</v>
      </c>
      <c r="N134" s="2" t="s">
        <v>216</v>
      </c>
      <c r="O134" s="2" t="s">
        <v>24</v>
      </c>
      <c r="P134" s="2" t="s">
        <v>863</v>
      </c>
      <c r="Q134" s="9">
        <v>5000</v>
      </c>
    </row>
    <row r="135" spans="2:17" x14ac:dyDescent="0.25">
      <c r="B135" s="1">
        <f t="shared" si="2"/>
        <v>133</v>
      </c>
      <c r="C135" s="1" t="s">
        <v>301</v>
      </c>
      <c r="D135" s="2" t="s">
        <v>302</v>
      </c>
      <c r="E135" s="2" t="s">
        <v>16</v>
      </c>
      <c r="F135" s="2" t="s">
        <v>17</v>
      </c>
      <c r="G135" s="2" t="s">
        <v>71</v>
      </c>
      <c r="H135" s="2" t="s">
        <v>29</v>
      </c>
      <c r="I135" s="4">
        <v>45452</v>
      </c>
      <c r="J135" s="4">
        <v>45272</v>
      </c>
      <c r="K135" s="2" t="s">
        <v>20</v>
      </c>
      <c r="L135" s="2" t="s">
        <v>34</v>
      </c>
      <c r="M135" s="2" t="s">
        <v>22</v>
      </c>
      <c r="N135" s="2" t="s">
        <v>303</v>
      </c>
      <c r="O135" s="2" t="s">
        <v>37</v>
      </c>
      <c r="P135" s="2" t="s">
        <v>863</v>
      </c>
      <c r="Q135" s="9">
        <v>5000</v>
      </c>
    </row>
    <row r="136" spans="2:17" x14ac:dyDescent="0.25">
      <c r="B136" s="1">
        <f t="shared" si="2"/>
        <v>134</v>
      </c>
      <c r="C136" s="1" t="s">
        <v>304</v>
      </c>
      <c r="D136" s="2" t="s">
        <v>305</v>
      </c>
      <c r="E136" s="2" t="s">
        <v>33</v>
      </c>
      <c r="F136" s="2" t="s">
        <v>17</v>
      </c>
      <c r="G136" s="2" t="s">
        <v>71</v>
      </c>
      <c r="H136" s="2" t="s">
        <v>29</v>
      </c>
      <c r="I136" s="4">
        <v>45452</v>
      </c>
      <c r="J136" s="4">
        <v>45272</v>
      </c>
      <c r="K136" s="2" t="s">
        <v>20</v>
      </c>
      <c r="L136" s="2" t="s">
        <v>21</v>
      </c>
      <c r="M136" s="2" t="s">
        <v>22</v>
      </c>
      <c r="N136" s="2" t="s">
        <v>216</v>
      </c>
      <c r="O136" s="2" t="s">
        <v>24</v>
      </c>
      <c r="P136" s="2" t="s">
        <v>863</v>
      </c>
      <c r="Q136" s="9">
        <v>5000</v>
      </c>
    </row>
    <row r="137" spans="2:17" x14ac:dyDescent="0.25">
      <c r="B137" s="1">
        <f t="shared" si="2"/>
        <v>135</v>
      </c>
      <c r="C137" s="1" t="s">
        <v>306</v>
      </c>
      <c r="D137" s="2" t="s">
        <v>307</v>
      </c>
      <c r="E137" s="2" t="s">
        <v>33</v>
      </c>
      <c r="F137" s="2" t="s">
        <v>17</v>
      </c>
      <c r="G137" s="2" t="s">
        <v>71</v>
      </c>
      <c r="H137" s="2" t="s">
        <v>29</v>
      </c>
      <c r="I137" s="4">
        <v>45452</v>
      </c>
      <c r="J137" s="4">
        <v>45272</v>
      </c>
      <c r="K137" s="2" t="s">
        <v>20</v>
      </c>
      <c r="L137" s="2" t="s">
        <v>21</v>
      </c>
      <c r="M137" s="2" t="s">
        <v>22</v>
      </c>
      <c r="N137" s="2" t="s">
        <v>23</v>
      </c>
      <c r="O137" s="2" t="s">
        <v>24</v>
      </c>
      <c r="P137" s="2" t="s">
        <v>863</v>
      </c>
      <c r="Q137" s="9">
        <v>5000</v>
      </c>
    </row>
    <row r="138" spans="2:17" x14ac:dyDescent="0.25">
      <c r="B138" s="1">
        <f t="shared" si="2"/>
        <v>136</v>
      </c>
      <c r="C138" s="1" t="s">
        <v>308</v>
      </c>
      <c r="D138" s="2" t="s">
        <v>309</v>
      </c>
      <c r="E138" s="2" t="s">
        <v>33</v>
      </c>
      <c r="F138" s="2" t="s">
        <v>17</v>
      </c>
      <c r="G138" s="2" t="s">
        <v>71</v>
      </c>
      <c r="H138" s="2" t="s">
        <v>29</v>
      </c>
      <c r="I138" s="4">
        <v>45452</v>
      </c>
      <c r="J138" s="4">
        <v>45272</v>
      </c>
      <c r="K138" s="2" t="s">
        <v>20</v>
      </c>
      <c r="L138" s="2" t="s">
        <v>21</v>
      </c>
      <c r="M138" s="2" t="s">
        <v>54</v>
      </c>
      <c r="N138" s="2" t="s">
        <v>216</v>
      </c>
      <c r="O138" s="2" t="s">
        <v>24</v>
      </c>
      <c r="P138" s="2" t="s">
        <v>863</v>
      </c>
      <c r="Q138" s="9">
        <v>5000</v>
      </c>
    </row>
    <row r="139" spans="2:17" x14ac:dyDescent="0.25">
      <c r="B139" s="1">
        <f t="shared" si="2"/>
        <v>137</v>
      </c>
      <c r="C139" s="1" t="s">
        <v>310</v>
      </c>
      <c r="D139" s="2" t="s">
        <v>311</v>
      </c>
      <c r="E139" s="2" t="s">
        <v>33</v>
      </c>
      <c r="F139" s="2" t="s">
        <v>17</v>
      </c>
      <c r="G139" s="2" t="s">
        <v>71</v>
      </c>
      <c r="H139" s="2" t="s">
        <v>29</v>
      </c>
      <c r="I139" s="4">
        <v>45452</v>
      </c>
      <c r="J139" s="4">
        <v>45272</v>
      </c>
      <c r="K139" s="2" t="s">
        <v>20</v>
      </c>
      <c r="L139" s="2" t="s">
        <v>34</v>
      </c>
      <c r="M139" s="2" t="s">
        <v>35</v>
      </c>
      <c r="N139" s="2" t="s">
        <v>216</v>
      </c>
      <c r="O139" s="2" t="s">
        <v>24</v>
      </c>
      <c r="P139" s="2" t="s">
        <v>863</v>
      </c>
      <c r="Q139" s="9">
        <v>5000</v>
      </c>
    </row>
    <row r="140" spans="2:17" x14ac:dyDescent="0.25">
      <c r="B140" s="1">
        <f t="shared" si="2"/>
        <v>138</v>
      </c>
      <c r="C140" s="1" t="s">
        <v>312</v>
      </c>
      <c r="D140" s="2" t="s">
        <v>313</v>
      </c>
      <c r="E140" s="2" t="s">
        <v>16</v>
      </c>
      <c r="F140" s="2" t="s">
        <v>17</v>
      </c>
      <c r="G140" s="2" t="s">
        <v>71</v>
      </c>
      <c r="H140" s="2" t="s">
        <v>29</v>
      </c>
      <c r="I140" s="4">
        <v>45452</v>
      </c>
      <c r="J140" s="4">
        <v>45272</v>
      </c>
      <c r="K140" s="2" t="s">
        <v>77</v>
      </c>
      <c r="L140" s="2" t="s">
        <v>34</v>
      </c>
      <c r="M140" s="2" t="s">
        <v>54</v>
      </c>
      <c r="N140" s="2" t="s">
        <v>23</v>
      </c>
      <c r="O140" s="2" t="s">
        <v>24</v>
      </c>
      <c r="P140" s="2" t="s">
        <v>863</v>
      </c>
      <c r="Q140" s="9">
        <v>5000</v>
      </c>
    </row>
    <row r="141" spans="2:17" x14ac:dyDescent="0.25">
      <c r="B141" s="1">
        <f t="shared" si="2"/>
        <v>139</v>
      </c>
      <c r="C141" s="1" t="s">
        <v>314</v>
      </c>
      <c r="D141" s="2" t="s">
        <v>315</v>
      </c>
      <c r="E141" s="2" t="s">
        <v>40</v>
      </c>
      <c r="F141" s="2" t="s">
        <v>17</v>
      </c>
      <c r="G141" s="2" t="s">
        <v>71</v>
      </c>
      <c r="H141" s="2" t="s">
        <v>29</v>
      </c>
      <c r="I141" s="4">
        <v>45452</v>
      </c>
      <c r="J141" s="4">
        <v>45272</v>
      </c>
      <c r="K141" s="2" t="s">
        <v>77</v>
      </c>
      <c r="L141" s="2" t="s">
        <v>21</v>
      </c>
      <c r="M141" s="2" t="s">
        <v>54</v>
      </c>
      <c r="N141" s="2" t="s">
        <v>23</v>
      </c>
      <c r="O141" s="2" t="s">
        <v>24</v>
      </c>
      <c r="P141" s="2" t="s">
        <v>863</v>
      </c>
      <c r="Q141" s="9">
        <v>5000</v>
      </c>
    </row>
    <row r="142" spans="2:17" x14ac:dyDescent="0.25">
      <c r="B142" s="1">
        <f t="shared" si="2"/>
        <v>140</v>
      </c>
      <c r="C142" s="1" t="s">
        <v>316</v>
      </c>
      <c r="D142" s="2" t="s">
        <v>317</v>
      </c>
      <c r="E142" s="2" t="s">
        <v>16</v>
      </c>
      <c r="F142" s="2" t="s">
        <v>17</v>
      </c>
      <c r="G142" s="2" t="s">
        <v>71</v>
      </c>
      <c r="H142" s="2" t="s">
        <v>29</v>
      </c>
      <c r="I142" s="4">
        <v>45452</v>
      </c>
      <c r="J142" s="4">
        <v>45272</v>
      </c>
      <c r="K142" s="2" t="s">
        <v>77</v>
      </c>
      <c r="L142" s="2" t="s">
        <v>34</v>
      </c>
      <c r="M142" s="2" t="s">
        <v>30</v>
      </c>
      <c r="N142" s="2" t="s">
        <v>120</v>
      </c>
      <c r="O142" s="2" t="s">
        <v>43</v>
      </c>
      <c r="P142" s="2" t="s">
        <v>863</v>
      </c>
      <c r="Q142" s="9">
        <v>5000</v>
      </c>
    </row>
    <row r="143" spans="2:17" x14ac:dyDescent="0.25">
      <c r="B143" s="1">
        <f t="shared" si="2"/>
        <v>141</v>
      </c>
      <c r="C143" s="1" t="s">
        <v>318</v>
      </c>
      <c r="D143" s="2" t="s">
        <v>319</v>
      </c>
      <c r="E143" s="2" t="s">
        <v>40</v>
      </c>
      <c r="F143" s="2" t="s">
        <v>17</v>
      </c>
      <c r="G143" s="2" t="s">
        <v>71</v>
      </c>
      <c r="H143" s="2" t="s">
        <v>29</v>
      </c>
      <c r="I143" s="4">
        <v>45452</v>
      </c>
      <c r="J143" s="4">
        <v>45272</v>
      </c>
      <c r="K143" s="2" t="s">
        <v>77</v>
      </c>
      <c r="L143" s="2" t="s">
        <v>21</v>
      </c>
      <c r="M143" s="2" t="s">
        <v>30</v>
      </c>
      <c r="N143" s="2" t="s">
        <v>112</v>
      </c>
      <c r="O143" s="2" t="s">
        <v>43</v>
      </c>
      <c r="P143" s="2" t="s">
        <v>863</v>
      </c>
      <c r="Q143" s="9">
        <v>5000</v>
      </c>
    </row>
    <row r="144" spans="2:17" x14ac:dyDescent="0.25">
      <c r="B144" s="1">
        <f t="shared" si="2"/>
        <v>142</v>
      </c>
      <c r="C144" s="1" t="s">
        <v>320</v>
      </c>
      <c r="D144" s="2" t="s">
        <v>321</v>
      </c>
      <c r="E144" s="2" t="s">
        <v>40</v>
      </c>
      <c r="F144" s="2" t="s">
        <v>17</v>
      </c>
      <c r="G144" s="2" t="s">
        <v>71</v>
      </c>
      <c r="H144" s="2" t="s">
        <v>29</v>
      </c>
      <c r="I144" s="4">
        <v>45452</v>
      </c>
      <c r="J144" s="4">
        <v>45272</v>
      </c>
      <c r="K144" s="2" t="s">
        <v>77</v>
      </c>
      <c r="L144" s="2" t="s">
        <v>21</v>
      </c>
      <c r="M144" s="2" t="s">
        <v>54</v>
      </c>
      <c r="N144" s="2" t="s">
        <v>92</v>
      </c>
      <c r="O144" s="2" t="s">
        <v>43</v>
      </c>
      <c r="P144" s="2" t="s">
        <v>863</v>
      </c>
      <c r="Q144" s="9">
        <v>5000</v>
      </c>
    </row>
    <row r="145" spans="2:17" x14ac:dyDescent="0.25">
      <c r="B145" s="1">
        <f t="shared" si="2"/>
        <v>143</v>
      </c>
      <c r="C145" s="1" t="s">
        <v>322</v>
      </c>
      <c r="D145" s="2" t="s">
        <v>323</v>
      </c>
      <c r="E145" s="2" t="s">
        <v>40</v>
      </c>
      <c r="F145" s="2" t="s">
        <v>17</v>
      </c>
      <c r="G145" s="2" t="s">
        <v>71</v>
      </c>
      <c r="H145" s="2" t="s">
        <v>29</v>
      </c>
      <c r="I145" s="4">
        <v>45452</v>
      </c>
      <c r="J145" s="4">
        <v>45272</v>
      </c>
      <c r="K145" s="2" t="s">
        <v>77</v>
      </c>
      <c r="L145" s="2" t="s">
        <v>21</v>
      </c>
      <c r="M145" s="2" t="s">
        <v>35</v>
      </c>
      <c r="N145" s="2" t="s">
        <v>92</v>
      </c>
      <c r="O145" s="2" t="s">
        <v>43</v>
      </c>
      <c r="P145" s="2" t="s">
        <v>863</v>
      </c>
      <c r="Q145" s="9">
        <v>5000</v>
      </c>
    </row>
    <row r="146" spans="2:17" x14ac:dyDescent="0.25">
      <c r="B146" s="1">
        <f t="shared" si="2"/>
        <v>144</v>
      </c>
      <c r="C146" s="1" t="s">
        <v>324</v>
      </c>
      <c r="D146" s="2" t="s">
        <v>325</v>
      </c>
      <c r="E146" s="2" t="s">
        <v>40</v>
      </c>
      <c r="F146" s="2" t="s">
        <v>17</v>
      </c>
      <c r="G146" s="2" t="s">
        <v>71</v>
      </c>
      <c r="H146" s="2" t="s">
        <v>29</v>
      </c>
      <c r="I146" s="4">
        <v>45452</v>
      </c>
      <c r="J146" s="4">
        <v>45272</v>
      </c>
      <c r="K146" s="2" t="s">
        <v>77</v>
      </c>
      <c r="L146" s="2" t="s">
        <v>21</v>
      </c>
      <c r="M146" s="2" t="s">
        <v>30</v>
      </c>
      <c r="N146" s="2" t="s">
        <v>23</v>
      </c>
      <c r="O146" s="2" t="s">
        <v>24</v>
      </c>
      <c r="P146" s="2" t="s">
        <v>863</v>
      </c>
      <c r="Q146" s="9">
        <v>5000</v>
      </c>
    </row>
    <row r="147" spans="2:17" x14ac:dyDescent="0.25">
      <c r="B147" s="1">
        <f t="shared" si="2"/>
        <v>145</v>
      </c>
      <c r="C147" s="1" t="s">
        <v>326</v>
      </c>
      <c r="D147" s="2" t="s">
        <v>327</v>
      </c>
      <c r="E147" s="2" t="s">
        <v>16</v>
      </c>
      <c r="F147" s="2" t="s">
        <v>17</v>
      </c>
      <c r="G147" s="2" t="s">
        <v>71</v>
      </c>
      <c r="H147" s="2" t="s">
        <v>29</v>
      </c>
      <c r="I147" s="4">
        <v>45452</v>
      </c>
      <c r="J147" s="4">
        <v>45272</v>
      </c>
      <c r="K147" s="2" t="s">
        <v>20</v>
      </c>
      <c r="L147" s="2" t="s">
        <v>21</v>
      </c>
      <c r="M147" s="2" t="s">
        <v>35</v>
      </c>
      <c r="N147" s="2" t="s">
        <v>23</v>
      </c>
      <c r="O147" s="2" t="s">
        <v>24</v>
      </c>
      <c r="P147" s="2" t="s">
        <v>863</v>
      </c>
      <c r="Q147" s="9">
        <v>5000</v>
      </c>
    </row>
    <row r="148" spans="2:17" x14ac:dyDescent="0.25">
      <c r="B148" s="1">
        <f t="shared" si="2"/>
        <v>146</v>
      </c>
      <c r="C148" s="1" t="s">
        <v>328</v>
      </c>
      <c r="D148" s="2" t="s">
        <v>329</v>
      </c>
      <c r="E148" s="2" t="s">
        <v>33</v>
      </c>
      <c r="F148" s="2" t="s">
        <v>17</v>
      </c>
      <c r="G148" s="2" t="s">
        <v>71</v>
      </c>
      <c r="H148" s="2" t="s">
        <v>29</v>
      </c>
      <c r="I148" s="4">
        <v>45452</v>
      </c>
      <c r="J148" s="4">
        <v>45272</v>
      </c>
      <c r="K148" s="2" t="s">
        <v>20</v>
      </c>
      <c r="L148" s="2" t="s">
        <v>21</v>
      </c>
      <c r="M148" s="2" t="s">
        <v>54</v>
      </c>
      <c r="N148" s="2" t="s">
        <v>23</v>
      </c>
      <c r="O148" s="2" t="s">
        <v>24</v>
      </c>
      <c r="P148" s="2" t="s">
        <v>863</v>
      </c>
      <c r="Q148" s="9">
        <v>5000</v>
      </c>
    </row>
    <row r="149" spans="2:17" x14ac:dyDescent="0.25">
      <c r="B149" s="1">
        <f t="shared" si="2"/>
        <v>147</v>
      </c>
      <c r="C149" s="1" t="s">
        <v>330</v>
      </c>
      <c r="D149" s="2" t="s">
        <v>331</v>
      </c>
      <c r="E149" s="2" t="s">
        <v>33</v>
      </c>
      <c r="F149" s="2" t="s">
        <v>17</v>
      </c>
      <c r="G149" s="2" t="s">
        <v>71</v>
      </c>
      <c r="H149" s="2" t="s">
        <v>29</v>
      </c>
      <c r="I149" s="4">
        <v>45452</v>
      </c>
      <c r="J149" s="4">
        <v>45272</v>
      </c>
      <c r="K149" s="2" t="s">
        <v>20</v>
      </c>
      <c r="L149" s="2" t="s">
        <v>21</v>
      </c>
      <c r="M149" s="2" t="s">
        <v>22</v>
      </c>
      <c r="N149" s="2" t="s">
        <v>23</v>
      </c>
      <c r="O149" s="2" t="s">
        <v>24</v>
      </c>
      <c r="P149" s="2" t="s">
        <v>863</v>
      </c>
      <c r="Q149" s="9">
        <v>5000</v>
      </c>
    </row>
    <row r="150" spans="2:17" x14ac:dyDescent="0.25">
      <c r="B150" s="1">
        <f t="shared" si="2"/>
        <v>148</v>
      </c>
      <c r="C150" s="1" t="s">
        <v>332</v>
      </c>
      <c r="D150" s="2" t="s">
        <v>333</v>
      </c>
      <c r="E150" s="2" t="s">
        <v>33</v>
      </c>
      <c r="F150" s="2" t="s">
        <v>17</v>
      </c>
      <c r="G150" s="2" t="s">
        <v>71</v>
      </c>
      <c r="H150" s="2" t="s">
        <v>29</v>
      </c>
      <c r="I150" s="4">
        <v>45452</v>
      </c>
      <c r="J150" s="4">
        <v>45272</v>
      </c>
      <c r="K150" s="2" t="s">
        <v>20</v>
      </c>
      <c r="L150" s="2" t="s">
        <v>21</v>
      </c>
      <c r="M150" s="2" t="s">
        <v>30</v>
      </c>
      <c r="N150" s="2" t="s">
        <v>23</v>
      </c>
      <c r="O150" s="2" t="s">
        <v>24</v>
      </c>
      <c r="P150" s="2" t="s">
        <v>863</v>
      </c>
      <c r="Q150" s="9">
        <v>5000</v>
      </c>
    </row>
    <row r="151" spans="2:17" x14ac:dyDescent="0.25">
      <c r="B151" s="1">
        <f t="shared" si="2"/>
        <v>149</v>
      </c>
      <c r="C151" s="1" t="s">
        <v>334</v>
      </c>
      <c r="D151" s="2" t="s">
        <v>335</v>
      </c>
      <c r="E151" s="2" t="s">
        <v>40</v>
      </c>
      <c r="F151" s="2" t="s">
        <v>17</v>
      </c>
      <c r="G151" s="2" t="s">
        <v>71</v>
      </c>
      <c r="H151" s="2" t="s">
        <v>29</v>
      </c>
      <c r="I151" s="4">
        <v>45452</v>
      </c>
      <c r="J151" s="4">
        <v>45272</v>
      </c>
      <c r="K151" s="2" t="s">
        <v>20</v>
      </c>
      <c r="L151" s="2" t="s">
        <v>21</v>
      </c>
      <c r="M151" s="2" t="s">
        <v>35</v>
      </c>
      <c r="N151" s="2" t="s">
        <v>23</v>
      </c>
      <c r="O151" s="2" t="s">
        <v>24</v>
      </c>
      <c r="P151" s="2" t="s">
        <v>863</v>
      </c>
      <c r="Q151" s="9">
        <v>5000</v>
      </c>
    </row>
    <row r="152" spans="2:17" x14ac:dyDescent="0.25">
      <c r="B152" s="1">
        <f t="shared" si="2"/>
        <v>150</v>
      </c>
      <c r="C152" s="1" t="s">
        <v>336</v>
      </c>
      <c r="D152" s="2" t="s">
        <v>337</v>
      </c>
      <c r="E152" s="2" t="s">
        <v>16</v>
      </c>
      <c r="F152" s="2" t="s">
        <v>17</v>
      </c>
      <c r="G152" s="2" t="s">
        <v>71</v>
      </c>
      <c r="H152" s="2" t="s">
        <v>29</v>
      </c>
      <c r="I152" s="4">
        <v>45452</v>
      </c>
      <c r="J152" s="4">
        <v>45272</v>
      </c>
      <c r="K152" s="2" t="s">
        <v>20</v>
      </c>
      <c r="L152" s="2" t="s">
        <v>21</v>
      </c>
      <c r="M152" s="2" t="s">
        <v>35</v>
      </c>
      <c r="N152" s="2" t="s">
        <v>92</v>
      </c>
      <c r="O152" s="2" t="s">
        <v>43</v>
      </c>
      <c r="P152" s="2" t="s">
        <v>863</v>
      </c>
      <c r="Q152" s="9">
        <v>5000</v>
      </c>
    </row>
    <row r="153" spans="2:17" x14ac:dyDescent="0.25">
      <c r="B153" s="1">
        <f t="shared" si="2"/>
        <v>151</v>
      </c>
      <c r="C153" s="1" t="s">
        <v>338</v>
      </c>
      <c r="D153" s="2" t="s">
        <v>339</v>
      </c>
      <c r="E153" s="2" t="s">
        <v>201</v>
      </c>
      <c r="F153" s="2" t="s">
        <v>17</v>
      </c>
      <c r="G153" s="2" t="s">
        <v>71</v>
      </c>
      <c r="H153" s="2" t="s">
        <v>29</v>
      </c>
      <c r="I153" s="4">
        <v>45452</v>
      </c>
      <c r="J153" s="4">
        <v>45272</v>
      </c>
      <c r="K153" s="2" t="s">
        <v>20</v>
      </c>
      <c r="L153" s="2" t="s">
        <v>21</v>
      </c>
      <c r="M153" s="2" t="s">
        <v>30</v>
      </c>
      <c r="N153" s="2" t="s">
        <v>285</v>
      </c>
      <c r="O153" s="2" t="s">
        <v>43</v>
      </c>
      <c r="P153" s="2" t="s">
        <v>863</v>
      </c>
      <c r="Q153" s="9">
        <v>5000</v>
      </c>
    </row>
    <row r="154" spans="2:17" x14ac:dyDescent="0.25">
      <c r="B154" s="1">
        <f t="shared" si="2"/>
        <v>152</v>
      </c>
      <c r="C154" s="1" t="s">
        <v>340</v>
      </c>
      <c r="D154" s="2" t="s">
        <v>341</v>
      </c>
      <c r="E154" s="2" t="s">
        <v>201</v>
      </c>
      <c r="F154" s="2" t="s">
        <v>17</v>
      </c>
      <c r="G154" s="2" t="s">
        <v>71</v>
      </c>
      <c r="H154" s="2" t="s">
        <v>29</v>
      </c>
      <c r="I154" s="4">
        <v>45452</v>
      </c>
      <c r="J154" s="4">
        <v>45272</v>
      </c>
      <c r="K154" s="2" t="s">
        <v>20</v>
      </c>
      <c r="L154" s="2" t="s">
        <v>21</v>
      </c>
      <c r="M154" s="2" t="s">
        <v>22</v>
      </c>
      <c r="N154" s="2" t="s">
        <v>23</v>
      </c>
      <c r="O154" s="2" t="s">
        <v>24</v>
      </c>
      <c r="P154" s="2" t="s">
        <v>863</v>
      </c>
      <c r="Q154" s="9">
        <v>5000</v>
      </c>
    </row>
    <row r="155" spans="2:17" x14ac:dyDescent="0.25">
      <c r="B155" s="1">
        <f t="shared" si="2"/>
        <v>153</v>
      </c>
      <c r="C155" s="1" t="s">
        <v>342</v>
      </c>
      <c r="D155" s="2" t="s">
        <v>343</v>
      </c>
      <c r="E155" s="2" t="s">
        <v>201</v>
      </c>
      <c r="F155" s="2" t="s">
        <v>17</v>
      </c>
      <c r="G155" s="2" t="s">
        <v>71</v>
      </c>
      <c r="H155" s="2" t="s">
        <v>29</v>
      </c>
      <c r="I155" s="4">
        <v>45452</v>
      </c>
      <c r="J155" s="4">
        <v>45272</v>
      </c>
      <c r="K155" s="2" t="s">
        <v>20</v>
      </c>
      <c r="L155" s="2" t="s">
        <v>21</v>
      </c>
      <c r="M155" s="2" t="s">
        <v>35</v>
      </c>
      <c r="N155" s="2" t="s">
        <v>23</v>
      </c>
      <c r="O155" s="2" t="s">
        <v>24</v>
      </c>
      <c r="P155" s="2" t="s">
        <v>863</v>
      </c>
      <c r="Q155" s="9">
        <v>5000</v>
      </c>
    </row>
    <row r="156" spans="2:17" x14ac:dyDescent="0.25">
      <c r="B156" s="1">
        <f t="shared" si="2"/>
        <v>154</v>
      </c>
      <c r="C156" s="1" t="s">
        <v>344</v>
      </c>
      <c r="D156" s="2" t="s">
        <v>345</v>
      </c>
      <c r="E156" s="2" t="s">
        <v>201</v>
      </c>
      <c r="F156" s="2" t="s">
        <v>198</v>
      </c>
      <c r="G156" s="2" t="s">
        <v>71</v>
      </c>
      <c r="H156" s="2" t="s">
        <v>29</v>
      </c>
      <c r="I156" s="4">
        <v>45452</v>
      </c>
      <c r="J156" s="4">
        <v>45272</v>
      </c>
      <c r="K156" s="2" t="s">
        <v>20</v>
      </c>
      <c r="L156" s="2" t="s">
        <v>21</v>
      </c>
      <c r="M156" s="2" t="s">
        <v>30</v>
      </c>
      <c r="N156" s="2" t="s">
        <v>23</v>
      </c>
      <c r="O156" s="2" t="s">
        <v>24</v>
      </c>
      <c r="P156" s="2" t="s">
        <v>863</v>
      </c>
      <c r="Q156" s="9">
        <v>5000</v>
      </c>
    </row>
    <row r="157" spans="2:17" x14ac:dyDescent="0.25">
      <c r="B157" s="1">
        <f t="shared" si="2"/>
        <v>155</v>
      </c>
      <c r="C157" s="1" t="s">
        <v>346</v>
      </c>
      <c r="D157" s="2" t="s">
        <v>347</v>
      </c>
      <c r="E157" s="2" t="s">
        <v>40</v>
      </c>
      <c r="F157" s="2" t="s">
        <v>17</v>
      </c>
      <c r="G157" s="2" t="s">
        <v>71</v>
      </c>
      <c r="H157" s="2" t="s">
        <v>29</v>
      </c>
      <c r="I157" s="4">
        <v>45452</v>
      </c>
      <c r="J157" s="4">
        <v>45272</v>
      </c>
      <c r="K157" s="2" t="s">
        <v>77</v>
      </c>
      <c r="L157" s="2" t="s">
        <v>21</v>
      </c>
      <c r="M157" s="2" t="s">
        <v>30</v>
      </c>
      <c r="N157" s="2" t="s">
        <v>92</v>
      </c>
      <c r="O157" s="2" t="s">
        <v>43</v>
      </c>
      <c r="P157" s="2" t="s">
        <v>863</v>
      </c>
      <c r="Q157" s="9">
        <v>5000</v>
      </c>
    </row>
    <row r="158" spans="2:17" x14ac:dyDescent="0.25">
      <c r="B158" s="1">
        <f t="shared" si="2"/>
        <v>156</v>
      </c>
      <c r="C158" s="1" t="s">
        <v>348</v>
      </c>
      <c r="D158" s="2" t="s">
        <v>349</v>
      </c>
      <c r="E158" s="2" t="s">
        <v>40</v>
      </c>
      <c r="F158" s="2" t="s">
        <v>17</v>
      </c>
      <c r="G158" s="2" t="s">
        <v>71</v>
      </c>
      <c r="H158" s="2" t="s">
        <v>29</v>
      </c>
      <c r="I158" s="4">
        <v>45452</v>
      </c>
      <c r="J158" s="4">
        <v>45272</v>
      </c>
      <c r="K158" s="2" t="s">
        <v>20</v>
      </c>
      <c r="L158" s="2" t="s">
        <v>34</v>
      </c>
      <c r="M158" s="2" t="s">
        <v>54</v>
      </c>
      <c r="N158" s="2" t="s">
        <v>92</v>
      </c>
      <c r="O158" s="2" t="s">
        <v>43</v>
      </c>
      <c r="P158" s="2" t="s">
        <v>863</v>
      </c>
      <c r="Q158" s="9">
        <v>5000</v>
      </c>
    </row>
    <row r="159" spans="2:17" x14ac:dyDescent="0.25">
      <c r="B159" s="1">
        <f t="shared" si="2"/>
        <v>157</v>
      </c>
      <c r="C159" s="1" t="s">
        <v>350</v>
      </c>
      <c r="D159" s="2" t="s">
        <v>351</v>
      </c>
      <c r="E159" s="2" t="s">
        <v>33</v>
      </c>
      <c r="F159" s="2" t="s">
        <v>17</v>
      </c>
      <c r="G159" s="2" t="s">
        <v>71</v>
      </c>
      <c r="H159" s="2" t="s">
        <v>29</v>
      </c>
      <c r="I159" s="4">
        <v>45452</v>
      </c>
      <c r="J159" s="4">
        <v>45272</v>
      </c>
      <c r="K159" s="2" t="s">
        <v>20</v>
      </c>
      <c r="L159" s="2" t="s">
        <v>34</v>
      </c>
      <c r="M159" s="2" t="s">
        <v>22</v>
      </c>
      <c r="N159" s="2" t="s">
        <v>23</v>
      </c>
      <c r="O159" s="2" t="s">
        <v>24</v>
      </c>
      <c r="P159" s="2" t="s">
        <v>863</v>
      </c>
      <c r="Q159" s="9">
        <v>5000</v>
      </c>
    </row>
    <row r="160" spans="2:17" x14ac:dyDescent="0.25">
      <c r="B160" s="1">
        <f t="shared" si="2"/>
        <v>158</v>
      </c>
      <c r="C160" s="1" t="s">
        <v>352</v>
      </c>
      <c r="D160" s="2" t="s">
        <v>353</v>
      </c>
      <c r="E160" s="2" t="s">
        <v>33</v>
      </c>
      <c r="F160" s="2" t="s">
        <v>17</v>
      </c>
      <c r="G160" s="2" t="s">
        <v>71</v>
      </c>
      <c r="H160" s="2" t="s">
        <v>29</v>
      </c>
      <c r="I160" s="4">
        <v>45452</v>
      </c>
      <c r="J160" s="4">
        <v>45272</v>
      </c>
      <c r="K160" s="2" t="s">
        <v>20</v>
      </c>
      <c r="L160" s="2" t="s">
        <v>21</v>
      </c>
      <c r="M160" s="2" t="s">
        <v>22</v>
      </c>
      <c r="N160" s="2" t="s">
        <v>23</v>
      </c>
      <c r="O160" s="2" t="s">
        <v>24</v>
      </c>
      <c r="P160" s="2" t="s">
        <v>863</v>
      </c>
      <c r="Q160" s="9">
        <v>5000</v>
      </c>
    </row>
    <row r="161" spans="2:17" x14ac:dyDescent="0.25">
      <c r="B161" s="1">
        <f t="shared" si="2"/>
        <v>159</v>
      </c>
      <c r="C161" s="1" t="s">
        <v>354</v>
      </c>
      <c r="D161" s="2" t="s">
        <v>355</v>
      </c>
      <c r="E161" s="2" t="s">
        <v>33</v>
      </c>
      <c r="F161" s="2" t="s">
        <v>17</v>
      </c>
      <c r="G161" s="2" t="s">
        <v>71</v>
      </c>
      <c r="H161" s="2" t="s">
        <v>29</v>
      </c>
      <c r="I161" s="4">
        <v>45452</v>
      </c>
      <c r="J161" s="4">
        <v>45272</v>
      </c>
      <c r="K161" s="2" t="s">
        <v>20</v>
      </c>
      <c r="L161" s="2" t="s">
        <v>21</v>
      </c>
      <c r="M161" s="2" t="s">
        <v>30</v>
      </c>
      <c r="N161" s="2" t="s">
        <v>65</v>
      </c>
      <c r="O161" s="2" t="s">
        <v>37</v>
      </c>
      <c r="P161" s="2" t="s">
        <v>863</v>
      </c>
      <c r="Q161" s="9">
        <v>5000</v>
      </c>
    </row>
    <row r="162" spans="2:17" x14ac:dyDescent="0.25">
      <c r="B162" s="1">
        <f t="shared" si="2"/>
        <v>160</v>
      </c>
      <c r="C162" s="1" t="s">
        <v>356</v>
      </c>
      <c r="D162" s="2" t="s">
        <v>357</v>
      </c>
      <c r="E162" s="2" t="s">
        <v>40</v>
      </c>
      <c r="F162" s="2" t="s">
        <v>17</v>
      </c>
      <c r="G162" s="2" t="s">
        <v>71</v>
      </c>
      <c r="H162" s="2" t="s">
        <v>29</v>
      </c>
      <c r="I162" s="4">
        <v>45453</v>
      </c>
      <c r="J162" s="4">
        <v>45273</v>
      </c>
      <c r="K162" s="2" t="s">
        <v>20</v>
      </c>
      <c r="L162" s="2" t="s">
        <v>21</v>
      </c>
      <c r="M162" s="2" t="s">
        <v>22</v>
      </c>
      <c r="N162" s="2" t="s">
        <v>65</v>
      </c>
      <c r="O162" s="2" t="s">
        <v>37</v>
      </c>
      <c r="P162" s="2" t="s">
        <v>863</v>
      </c>
      <c r="Q162" s="9">
        <v>5000</v>
      </c>
    </row>
    <row r="163" spans="2:17" x14ac:dyDescent="0.25">
      <c r="B163" s="1">
        <f t="shared" si="2"/>
        <v>161</v>
      </c>
      <c r="C163" s="1" t="s">
        <v>358</v>
      </c>
      <c r="D163" s="2" t="s">
        <v>359</v>
      </c>
      <c r="E163" s="2" t="s">
        <v>33</v>
      </c>
      <c r="F163" s="2" t="s">
        <v>17</v>
      </c>
      <c r="G163" s="2" t="s">
        <v>71</v>
      </c>
      <c r="H163" s="2" t="s">
        <v>29</v>
      </c>
      <c r="I163" s="4">
        <v>45453</v>
      </c>
      <c r="J163" s="4">
        <v>45273</v>
      </c>
      <c r="K163" s="2" t="s">
        <v>20</v>
      </c>
      <c r="L163" s="2" t="s">
        <v>21</v>
      </c>
      <c r="M163" s="2" t="s">
        <v>22</v>
      </c>
      <c r="N163" s="2" t="s">
        <v>23</v>
      </c>
      <c r="O163" s="2" t="s">
        <v>24</v>
      </c>
      <c r="P163" s="2" t="s">
        <v>863</v>
      </c>
      <c r="Q163" s="9">
        <v>5000</v>
      </c>
    </row>
    <row r="164" spans="2:17" x14ac:dyDescent="0.25">
      <c r="B164" s="1">
        <f t="shared" si="2"/>
        <v>162</v>
      </c>
      <c r="C164" s="1" t="s">
        <v>360</v>
      </c>
      <c r="D164" s="2" t="s">
        <v>361</v>
      </c>
      <c r="E164" s="2" t="s">
        <v>16</v>
      </c>
      <c r="F164" s="2" t="s">
        <v>17</v>
      </c>
      <c r="G164" s="2" t="s">
        <v>71</v>
      </c>
      <c r="H164" s="2" t="s">
        <v>29</v>
      </c>
      <c r="I164" s="4">
        <v>45453</v>
      </c>
      <c r="J164" s="4">
        <v>45273</v>
      </c>
      <c r="K164" s="2" t="s">
        <v>20</v>
      </c>
      <c r="L164" s="2" t="s">
        <v>21</v>
      </c>
      <c r="M164" s="2" t="s">
        <v>22</v>
      </c>
      <c r="N164" s="2" t="s">
        <v>221</v>
      </c>
      <c r="O164" s="2" t="s">
        <v>43</v>
      </c>
      <c r="P164" s="2" t="s">
        <v>863</v>
      </c>
      <c r="Q164" s="9">
        <v>5000</v>
      </c>
    </row>
    <row r="165" spans="2:17" x14ac:dyDescent="0.25">
      <c r="B165" s="1">
        <f t="shared" si="2"/>
        <v>163</v>
      </c>
      <c r="C165" s="1" t="s">
        <v>362</v>
      </c>
      <c r="D165" s="2" t="s">
        <v>205</v>
      </c>
      <c r="E165" s="2" t="s">
        <v>16</v>
      </c>
      <c r="F165" s="2" t="s">
        <v>17</v>
      </c>
      <c r="G165" s="2" t="s">
        <v>71</v>
      </c>
      <c r="H165" s="2" t="s">
        <v>29</v>
      </c>
      <c r="I165" s="4">
        <v>45453</v>
      </c>
      <c r="J165" s="4">
        <v>45273</v>
      </c>
      <c r="K165" s="2" t="s">
        <v>20</v>
      </c>
      <c r="L165" s="2" t="s">
        <v>21</v>
      </c>
      <c r="M165" s="2" t="s">
        <v>35</v>
      </c>
      <c r="N165" s="2" t="s">
        <v>278</v>
      </c>
      <c r="O165" s="2" t="s">
        <v>279</v>
      </c>
      <c r="P165" s="2" t="s">
        <v>863</v>
      </c>
      <c r="Q165" s="9">
        <v>5000</v>
      </c>
    </row>
    <row r="166" spans="2:17" x14ac:dyDescent="0.25">
      <c r="B166" s="1">
        <f t="shared" si="2"/>
        <v>164</v>
      </c>
      <c r="C166" s="1" t="s">
        <v>363</v>
      </c>
      <c r="D166" s="2" t="s">
        <v>364</v>
      </c>
      <c r="E166" s="2" t="s">
        <v>16</v>
      </c>
      <c r="F166" s="2" t="s">
        <v>17</v>
      </c>
      <c r="G166" s="2" t="s">
        <v>71</v>
      </c>
      <c r="H166" s="2" t="s">
        <v>29</v>
      </c>
      <c r="I166" s="4">
        <v>45453</v>
      </c>
      <c r="J166" s="4">
        <v>45273</v>
      </c>
      <c r="K166" s="2" t="s">
        <v>20</v>
      </c>
      <c r="L166" s="2" t="s">
        <v>21</v>
      </c>
      <c r="M166" s="2" t="s">
        <v>111</v>
      </c>
      <c r="N166" s="2" t="s">
        <v>23</v>
      </c>
      <c r="O166" s="2" t="s">
        <v>24</v>
      </c>
      <c r="P166" s="2" t="s">
        <v>863</v>
      </c>
      <c r="Q166" s="9">
        <v>5000</v>
      </c>
    </row>
    <row r="167" spans="2:17" x14ac:dyDescent="0.25">
      <c r="B167" s="1">
        <f t="shared" si="2"/>
        <v>165</v>
      </c>
      <c r="C167" s="1" t="s">
        <v>365</v>
      </c>
      <c r="D167" s="2" t="s">
        <v>366</v>
      </c>
      <c r="E167" s="2" t="s">
        <v>33</v>
      </c>
      <c r="F167" s="2" t="s">
        <v>17</v>
      </c>
      <c r="G167" s="2" t="s">
        <v>71</v>
      </c>
      <c r="H167" s="2" t="s">
        <v>29</v>
      </c>
      <c r="I167" s="4">
        <v>45453</v>
      </c>
      <c r="J167" s="4">
        <v>45273</v>
      </c>
      <c r="K167" s="2" t="s">
        <v>20</v>
      </c>
      <c r="L167" s="2" t="s">
        <v>34</v>
      </c>
      <c r="M167" s="2" t="s">
        <v>144</v>
      </c>
      <c r="N167" s="2" t="s">
        <v>23</v>
      </c>
      <c r="O167" s="2" t="s">
        <v>24</v>
      </c>
      <c r="P167" s="2" t="s">
        <v>863</v>
      </c>
      <c r="Q167" s="9">
        <v>5000</v>
      </c>
    </row>
    <row r="168" spans="2:17" x14ac:dyDescent="0.25">
      <c r="B168" s="1">
        <f t="shared" si="2"/>
        <v>166</v>
      </c>
      <c r="C168" s="1" t="s">
        <v>367</v>
      </c>
      <c r="D168" s="2" t="s">
        <v>368</v>
      </c>
      <c r="E168" s="2" t="s">
        <v>33</v>
      </c>
      <c r="F168" s="2" t="s">
        <v>17</v>
      </c>
      <c r="G168" s="2" t="s">
        <v>71</v>
      </c>
      <c r="H168" s="2" t="s">
        <v>29</v>
      </c>
      <c r="I168" s="4">
        <v>45453</v>
      </c>
      <c r="J168" s="4">
        <v>45273</v>
      </c>
      <c r="K168" s="2" t="s">
        <v>77</v>
      </c>
      <c r="L168" s="2" t="s">
        <v>34</v>
      </c>
      <c r="M168" s="2" t="s">
        <v>137</v>
      </c>
      <c r="N168" s="2" t="s">
        <v>23</v>
      </c>
      <c r="O168" s="2" t="s">
        <v>24</v>
      </c>
      <c r="P168" s="2" t="s">
        <v>863</v>
      </c>
      <c r="Q168" s="9">
        <v>5000</v>
      </c>
    </row>
    <row r="169" spans="2:17" x14ac:dyDescent="0.25">
      <c r="B169" s="1">
        <f t="shared" si="2"/>
        <v>167</v>
      </c>
      <c r="C169" s="1" t="s">
        <v>369</v>
      </c>
      <c r="D169" s="2" t="s">
        <v>370</v>
      </c>
      <c r="E169" s="2" t="s">
        <v>16</v>
      </c>
      <c r="F169" s="2" t="s">
        <v>17</v>
      </c>
      <c r="G169" s="2" t="s">
        <v>71</v>
      </c>
      <c r="H169" s="2" t="s">
        <v>29</v>
      </c>
      <c r="I169" s="4">
        <v>45453</v>
      </c>
      <c r="J169" s="4">
        <v>45273</v>
      </c>
      <c r="K169" s="2" t="s">
        <v>77</v>
      </c>
      <c r="L169" s="2" t="s">
        <v>21</v>
      </c>
      <c r="M169" s="2" t="s">
        <v>30</v>
      </c>
      <c r="N169" s="2" t="s">
        <v>221</v>
      </c>
      <c r="O169" s="2" t="s">
        <v>43</v>
      </c>
      <c r="P169" s="2" t="s">
        <v>863</v>
      </c>
      <c r="Q169" s="9">
        <v>5000</v>
      </c>
    </row>
    <row r="170" spans="2:17" x14ac:dyDescent="0.25">
      <c r="B170" s="1">
        <f t="shared" si="2"/>
        <v>168</v>
      </c>
      <c r="C170" s="1" t="s">
        <v>371</v>
      </c>
      <c r="D170" s="2" t="s">
        <v>372</v>
      </c>
      <c r="E170" s="2" t="s">
        <v>16</v>
      </c>
      <c r="F170" s="2" t="s">
        <v>17</v>
      </c>
      <c r="G170" s="2" t="s">
        <v>71</v>
      </c>
      <c r="H170" s="2" t="s">
        <v>29</v>
      </c>
      <c r="I170" s="4">
        <v>45453</v>
      </c>
      <c r="J170" s="4">
        <v>45273</v>
      </c>
      <c r="K170" s="2" t="s">
        <v>77</v>
      </c>
      <c r="L170" s="2" t="s">
        <v>21</v>
      </c>
      <c r="M170" s="2" t="s">
        <v>30</v>
      </c>
      <c r="N170" s="2" t="s">
        <v>92</v>
      </c>
      <c r="O170" s="2" t="s">
        <v>43</v>
      </c>
      <c r="P170" s="2" t="s">
        <v>863</v>
      </c>
      <c r="Q170" s="9">
        <v>5000</v>
      </c>
    </row>
    <row r="171" spans="2:17" x14ac:dyDescent="0.25">
      <c r="B171" s="1">
        <f t="shared" si="2"/>
        <v>169</v>
      </c>
      <c r="C171" s="1" t="s">
        <v>373</v>
      </c>
      <c r="D171" s="2" t="s">
        <v>374</v>
      </c>
      <c r="E171" s="2" t="s">
        <v>40</v>
      </c>
      <c r="F171" s="2" t="s">
        <v>17</v>
      </c>
      <c r="G171" s="2" t="s">
        <v>71</v>
      </c>
      <c r="H171" s="2" t="s">
        <v>29</v>
      </c>
      <c r="I171" s="4">
        <v>45453</v>
      </c>
      <c r="J171" s="4">
        <v>45273</v>
      </c>
      <c r="K171" s="2" t="s">
        <v>77</v>
      </c>
      <c r="L171" s="2" t="s">
        <v>21</v>
      </c>
      <c r="M171" s="2" t="s">
        <v>35</v>
      </c>
      <c r="N171" s="2" t="s">
        <v>216</v>
      </c>
      <c r="O171" s="2" t="s">
        <v>24</v>
      </c>
      <c r="P171" s="2" t="s">
        <v>863</v>
      </c>
      <c r="Q171" s="9">
        <v>5000</v>
      </c>
    </row>
    <row r="172" spans="2:17" x14ac:dyDescent="0.25">
      <c r="B172" s="1">
        <f t="shared" si="2"/>
        <v>170</v>
      </c>
      <c r="C172" s="1" t="s">
        <v>375</v>
      </c>
      <c r="D172" s="2" t="s">
        <v>376</v>
      </c>
      <c r="E172" s="2" t="s">
        <v>33</v>
      </c>
      <c r="F172" s="2" t="s">
        <v>17</v>
      </c>
      <c r="G172" s="2" t="s">
        <v>71</v>
      </c>
      <c r="H172" s="2" t="s">
        <v>29</v>
      </c>
      <c r="I172" s="4">
        <v>45453</v>
      </c>
      <c r="J172" s="4">
        <v>45273</v>
      </c>
      <c r="K172" s="2" t="s">
        <v>77</v>
      </c>
      <c r="L172" s="2" t="s">
        <v>21</v>
      </c>
      <c r="M172" s="2" t="s">
        <v>35</v>
      </c>
      <c r="N172" s="2" t="s">
        <v>92</v>
      </c>
      <c r="O172" s="2" t="s">
        <v>43</v>
      </c>
      <c r="P172" s="2" t="s">
        <v>863</v>
      </c>
      <c r="Q172" s="9">
        <v>5000</v>
      </c>
    </row>
    <row r="173" spans="2:17" x14ac:dyDescent="0.25">
      <c r="B173" s="1">
        <f t="shared" si="2"/>
        <v>171</v>
      </c>
      <c r="C173" s="1" t="s">
        <v>377</v>
      </c>
      <c r="D173" s="2" t="s">
        <v>378</v>
      </c>
      <c r="E173" s="2" t="s">
        <v>33</v>
      </c>
      <c r="F173" s="2" t="s">
        <v>17</v>
      </c>
      <c r="G173" s="2" t="s">
        <v>71</v>
      </c>
      <c r="H173" s="2" t="s">
        <v>29</v>
      </c>
      <c r="I173" s="4">
        <v>45453</v>
      </c>
      <c r="J173" s="4">
        <v>45273</v>
      </c>
      <c r="K173" s="2" t="s">
        <v>77</v>
      </c>
      <c r="L173" s="2" t="s">
        <v>21</v>
      </c>
      <c r="M173" s="2" t="s">
        <v>35</v>
      </c>
      <c r="N173" s="2" t="s">
        <v>216</v>
      </c>
      <c r="O173" s="2" t="s">
        <v>24</v>
      </c>
      <c r="P173" s="2" t="s">
        <v>863</v>
      </c>
      <c r="Q173" s="9">
        <v>5000</v>
      </c>
    </row>
    <row r="174" spans="2:17" x14ac:dyDescent="0.25">
      <c r="B174" s="1">
        <f t="shared" si="2"/>
        <v>172</v>
      </c>
      <c r="C174" s="1" t="s">
        <v>379</v>
      </c>
      <c r="D174" s="2" t="s">
        <v>380</v>
      </c>
      <c r="E174" s="2" t="s">
        <v>201</v>
      </c>
      <c r="F174" s="2" t="s">
        <v>17</v>
      </c>
      <c r="G174" s="2" t="s">
        <v>71</v>
      </c>
      <c r="H174" s="2" t="s">
        <v>29</v>
      </c>
      <c r="I174" s="4">
        <v>45453</v>
      </c>
      <c r="J174" s="4">
        <v>45273</v>
      </c>
      <c r="K174" s="2" t="s">
        <v>20</v>
      </c>
      <c r="L174" s="2" t="s">
        <v>21</v>
      </c>
      <c r="M174" s="2" t="s">
        <v>35</v>
      </c>
      <c r="N174" s="2" t="s">
        <v>23</v>
      </c>
      <c r="O174" s="2" t="s">
        <v>24</v>
      </c>
      <c r="P174" s="2" t="s">
        <v>863</v>
      </c>
      <c r="Q174" s="9">
        <v>5000</v>
      </c>
    </row>
    <row r="175" spans="2:17" x14ac:dyDescent="0.25">
      <c r="B175" s="1">
        <f t="shared" si="2"/>
        <v>173</v>
      </c>
      <c r="C175" s="1" t="s">
        <v>381</v>
      </c>
      <c r="D175" s="2" t="s">
        <v>382</v>
      </c>
      <c r="E175" s="2" t="s">
        <v>16</v>
      </c>
      <c r="F175" s="2" t="s">
        <v>17</v>
      </c>
      <c r="G175" s="2" t="s">
        <v>71</v>
      </c>
      <c r="H175" s="2" t="s">
        <v>29</v>
      </c>
      <c r="I175" s="4">
        <v>45453</v>
      </c>
      <c r="J175" s="4">
        <v>45273</v>
      </c>
      <c r="K175" s="2" t="s">
        <v>20</v>
      </c>
      <c r="L175" s="2" t="s">
        <v>21</v>
      </c>
      <c r="M175" s="2" t="s">
        <v>30</v>
      </c>
      <c r="N175" s="2" t="s">
        <v>92</v>
      </c>
      <c r="O175" s="2" t="s">
        <v>43</v>
      </c>
      <c r="P175" s="2" t="s">
        <v>863</v>
      </c>
      <c r="Q175" s="9">
        <v>5000</v>
      </c>
    </row>
    <row r="176" spans="2:17" x14ac:dyDescent="0.25">
      <c r="B176" s="1">
        <f t="shared" si="2"/>
        <v>174</v>
      </c>
      <c r="C176" s="1" t="s">
        <v>383</v>
      </c>
      <c r="D176" s="2" t="s">
        <v>384</v>
      </c>
      <c r="E176" s="2" t="s">
        <v>33</v>
      </c>
      <c r="F176" s="2" t="s">
        <v>17</v>
      </c>
      <c r="G176" s="2" t="s">
        <v>71</v>
      </c>
      <c r="H176" s="2" t="s">
        <v>29</v>
      </c>
      <c r="I176" s="4">
        <v>45453</v>
      </c>
      <c r="J176" s="4">
        <v>45273</v>
      </c>
      <c r="K176" s="2" t="s">
        <v>77</v>
      </c>
      <c r="L176" s="2" t="s">
        <v>34</v>
      </c>
      <c r="M176" s="2" t="s">
        <v>22</v>
      </c>
      <c r="N176" s="2" t="s">
        <v>23</v>
      </c>
      <c r="O176" s="2" t="s">
        <v>24</v>
      </c>
      <c r="P176" s="2" t="s">
        <v>863</v>
      </c>
      <c r="Q176" s="9">
        <v>5000</v>
      </c>
    </row>
    <row r="177" spans="2:17" x14ac:dyDescent="0.25">
      <c r="B177" s="1">
        <f t="shared" si="2"/>
        <v>175</v>
      </c>
      <c r="C177" s="1" t="s">
        <v>385</v>
      </c>
      <c r="D177" s="2" t="s">
        <v>386</v>
      </c>
      <c r="E177" s="2" t="s">
        <v>33</v>
      </c>
      <c r="F177" s="2" t="s">
        <v>17</v>
      </c>
      <c r="G177" s="2" t="s">
        <v>71</v>
      </c>
      <c r="H177" s="2" t="s">
        <v>29</v>
      </c>
      <c r="I177" s="4">
        <v>45453</v>
      </c>
      <c r="J177" s="4">
        <v>45273</v>
      </c>
      <c r="K177" s="2" t="s">
        <v>77</v>
      </c>
      <c r="L177" s="2" t="s">
        <v>21</v>
      </c>
      <c r="M177" s="2" t="s">
        <v>22</v>
      </c>
      <c r="N177" s="2" t="s">
        <v>115</v>
      </c>
      <c r="O177" s="2" t="s">
        <v>24</v>
      </c>
      <c r="P177" s="2" t="s">
        <v>863</v>
      </c>
      <c r="Q177" s="9">
        <v>5000</v>
      </c>
    </row>
    <row r="178" spans="2:17" x14ac:dyDescent="0.25">
      <c r="B178" s="1">
        <f t="shared" si="2"/>
        <v>176</v>
      </c>
      <c r="C178" s="1" t="s">
        <v>387</v>
      </c>
      <c r="D178" s="2" t="s">
        <v>388</v>
      </c>
      <c r="E178" s="2" t="s">
        <v>40</v>
      </c>
      <c r="F178" s="2" t="s">
        <v>17</v>
      </c>
      <c r="G178" s="2" t="s">
        <v>71</v>
      </c>
      <c r="H178" s="2" t="s">
        <v>29</v>
      </c>
      <c r="I178" s="4">
        <v>45454</v>
      </c>
      <c r="J178" s="4">
        <v>45274</v>
      </c>
      <c r="K178" s="2" t="s">
        <v>77</v>
      </c>
      <c r="L178" s="2" t="s">
        <v>34</v>
      </c>
      <c r="M178" s="2" t="s">
        <v>111</v>
      </c>
      <c r="N178" s="2" t="s">
        <v>187</v>
      </c>
      <c r="O178" s="2" t="s">
        <v>37</v>
      </c>
      <c r="P178" s="2" t="s">
        <v>863</v>
      </c>
      <c r="Q178" s="9">
        <v>5000</v>
      </c>
    </row>
    <row r="179" spans="2:17" x14ac:dyDescent="0.25">
      <c r="B179" s="1">
        <f t="shared" si="2"/>
        <v>177</v>
      </c>
      <c r="C179" s="1" t="s">
        <v>389</v>
      </c>
      <c r="D179" s="2" t="s">
        <v>390</v>
      </c>
      <c r="E179" s="2" t="s">
        <v>40</v>
      </c>
      <c r="F179" s="2" t="s">
        <v>17</v>
      </c>
      <c r="G179" s="2" t="s">
        <v>71</v>
      </c>
      <c r="H179" s="2" t="s">
        <v>29</v>
      </c>
      <c r="I179" s="4">
        <v>45454</v>
      </c>
      <c r="J179" s="4">
        <v>45274</v>
      </c>
      <c r="K179" s="2" t="s">
        <v>20</v>
      </c>
      <c r="L179" s="2" t="s">
        <v>21</v>
      </c>
      <c r="M179" s="2" t="s">
        <v>22</v>
      </c>
      <c r="N179" s="2" t="s">
        <v>92</v>
      </c>
      <c r="O179" s="2" t="s">
        <v>43</v>
      </c>
      <c r="P179" s="2" t="s">
        <v>863</v>
      </c>
      <c r="Q179" s="9">
        <v>5000</v>
      </c>
    </row>
    <row r="180" spans="2:17" x14ac:dyDescent="0.25">
      <c r="B180" s="1">
        <f t="shared" si="2"/>
        <v>178</v>
      </c>
      <c r="C180" s="1" t="s">
        <v>391</v>
      </c>
      <c r="D180" s="2" t="s">
        <v>392</v>
      </c>
      <c r="E180" s="2" t="s">
        <v>16</v>
      </c>
      <c r="F180" s="2" t="s">
        <v>17</v>
      </c>
      <c r="G180" s="2" t="s">
        <v>71</v>
      </c>
      <c r="H180" s="2" t="s">
        <v>29</v>
      </c>
      <c r="I180" s="4">
        <v>45454</v>
      </c>
      <c r="J180" s="4">
        <v>45274</v>
      </c>
      <c r="K180" s="2" t="s">
        <v>20</v>
      </c>
      <c r="L180" s="2" t="s">
        <v>21</v>
      </c>
      <c r="M180" s="2" t="s">
        <v>22</v>
      </c>
      <c r="N180" s="2" t="s">
        <v>216</v>
      </c>
      <c r="O180" s="2" t="s">
        <v>24</v>
      </c>
      <c r="P180" s="2" t="s">
        <v>863</v>
      </c>
      <c r="Q180" s="9">
        <v>5000</v>
      </c>
    </row>
    <row r="181" spans="2:17" x14ac:dyDescent="0.25">
      <c r="B181" s="1">
        <f t="shared" si="2"/>
        <v>179</v>
      </c>
      <c r="C181" s="1" t="s">
        <v>393</v>
      </c>
      <c r="D181" s="2" t="s">
        <v>394</v>
      </c>
      <c r="E181" s="2" t="s">
        <v>16</v>
      </c>
      <c r="F181" s="2" t="s">
        <v>17</v>
      </c>
      <c r="G181" s="2" t="s">
        <v>71</v>
      </c>
      <c r="H181" s="2" t="s">
        <v>29</v>
      </c>
      <c r="I181" s="4">
        <v>45454</v>
      </c>
      <c r="J181" s="4">
        <v>45274</v>
      </c>
      <c r="K181" s="2" t="s">
        <v>20</v>
      </c>
      <c r="L181" s="2" t="s">
        <v>21</v>
      </c>
      <c r="M181" s="2" t="s">
        <v>30</v>
      </c>
      <c r="N181" s="2" t="s">
        <v>23</v>
      </c>
      <c r="O181" s="2" t="s">
        <v>24</v>
      </c>
      <c r="P181" s="2" t="s">
        <v>863</v>
      </c>
      <c r="Q181" s="9">
        <v>5000</v>
      </c>
    </row>
    <row r="182" spans="2:17" x14ac:dyDescent="0.25">
      <c r="B182" s="1">
        <f t="shared" si="2"/>
        <v>180</v>
      </c>
      <c r="C182" s="1" t="s">
        <v>395</v>
      </c>
      <c r="D182" s="2" t="s">
        <v>396</v>
      </c>
      <c r="E182" s="2" t="s">
        <v>33</v>
      </c>
      <c r="F182" s="2" t="s">
        <v>195</v>
      </c>
      <c r="G182" s="2" t="s">
        <v>71</v>
      </c>
      <c r="H182" s="2" t="s">
        <v>29</v>
      </c>
      <c r="I182" s="4">
        <v>45454</v>
      </c>
      <c r="J182" s="4">
        <v>45274</v>
      </c>
      <c r="K182" s="2" t="s">
        <v>20</v>
      </c>
      <c r="L182" s="2" t="s">
        <v>21</v>
      </c>
      <c r="M182" s="2" t="s">
        <v>30</v>
      </c>
      <c r="N182" s="2" t="s">
        <v>23</v>
      </c>
      <c r="O182" s="2" t="s">
        <v>24</v>
      </c>
      <c r="P182" s="2" t="s">
        <v>863</v>
      </c>
      <c r="Q182" s="9">
        <v>5000</v>
      </c>
    </row>
    <row r="183" spans="2:17" x14ac:dyDescent="0.25">
      <c r="B183" s="1">
        <f t="shared" si="2"/>
        <v>181</v>
      </c>
      <c r="C183" s="1" t="s">
        <v>397</v>
      </c>
      <c r="D183" s="2" t="s">
        <v>398</v>
      </c>
      <c r="E183" s="2" t="s">
        <v>33</v>
      </c>
      <c r="F183" s="2" t="s">
        <v>17</v>
      </c>
      <c r="G183" s="2" t="s">
        <v>71</v>
      </c>
      <c r="H183" s="2" t="s">
        <v>29</v>
      </c>
      <c r="I183" s="4">
        <v>45454</v>
      </c>
      <c r="J183" s="4">
        <v>45274</v>
      </c>
      <c r="K183" s="2" t="s">
        <v>20</v>
      </c>
      <c r="L183" s="2" t="s">
        <v>21</v>
      </c>
      <c r="M183" s="2" t="s">
        <v>22</v>
      </c>
      <c r="N183" s="2" t="s">
        <v>23</v>
      </c>
      <c r="O183" s="2" t="s">
        <v>24</v>
      </c>
      <c r="P183" s="2" t="s">
        <v>863</v>
      </c>
      <c r="Q183" s="9">
        <v>5000</v>
      </c>
    </row>
    <row r="184" spans="2:17" x14ac:dyDescent="0.25">
      <c r="B184" s="1">
        <f t="shared" si="2"/>
        <v>182</v>
      </c>
      <c r="C184" s="1" t="s">
        <v>399</v>
      </c>
      <c r="D184" s="2" t="s">
        <v>400</v>
      </c>
      <c r="E184" s="2" t="s">
        <v>201</v>
      </c>
      <c r="F184" s="2" t="s">
        <v>165</v>
      </c>
      <c r="G184" s="2" t="s">
        <v>28</v>
      </c>
      <c r="H184" s="2" t="s">
        <v>29</v>
      </c>
      <c r="I184" s="4">
        <v>45457</v>
      </c>
      <c r="J184" s="4">
        <v>45277</v>
      </c>
      <c r="K184" s="2" t="s">
        <v>20</v>
      </c>
      <c r="L184" s="2" t="s">
        <v>34</v>
      </c>
      <c r="M184" s="2" t="s">
        <v>30</v>
      </c>
      <c r="N184" s="2" t="s">
        <v>23</v>
      </c>
      <c r="O184" s="2" t="s">
        <v>24</v>
      </c>
      <c r="P184" s="2" t="s">
        <v>863</v>
      </c>
      <c r="Q184" s="9">
        <v>5000</v>
      </c>
    </row>
    <row r="185" spans="2:17" x14ac:dyDescent="0.25">
      <c r="B185" s="1">
        <f t="shared" si="2"/>
        <v>183</v>
      </c>
      <c r="C185" s="1" t="s">
        <v>401</v>
      </c>
      <c r="D185" s="2" t="s">
        <v>402</v>
      </c>
      <c r="E185" s="2" t="s">
        <v>33</v>
      </c>
      <c r="F185" s="2" t="s">
        <v>17</v>
      </c>
      <c r="G185" s="2" t="s">
        <v>71</v>
      </c>
      <c r="H185" s="2" t="s">
        <v>29</v>
      </c>
      <c r="I185" s="4">
        <v>45457</v>
      </c>
      <c r="J185" s="4">
        <v>45277</v>
      </c>
      <c r="K185" s="2" t="s">
        <v>77</v>
      </c>
      <c r="L185" s="2" t="s">
        <v>21</v>
      </c>
      <c r="M185" s="2" t="s">
        <v>30</v>
      </c>
      <c r="N185" s="2" t="s">
        <v>23</v>
      </c>
      <c r="O185" s="2" t="s">
        <v>24</v>
      </c>
      <c r="P185" s="2" t="s">
        <v>863</v>
      </c>
      <c r="Q185" s="9">
        <v>5000</v>
      </c>
    </row>
    <row r="186" spans="2:17" x14ac:dyDescent="0.25">
      <c r="B186" s="1">
        <f t="shared" si="2"/>
        <v>184</v>
      </c>
      <c r="C186" s="1" t="s">
        <v>403</v>
      </c>
      <c r="D186" s="2" t="s">
        <v>404</v>
      </c>
      <c r="E186" s="2" t="s">
        <v>40</v>
      </c>
      <c r="F186" s="2" t="s">
        <v>17</v>
      </c>
      <c r="G186" s="2" t="s">
        <v>71</v>
      </c>
      <c r="H186" s="2" t="s">
        <v>29</v>
      </c>
      <c r="I186" s="4">
        <v>45457</v>
      </c>
      <c r="J186" s="4">
        <v>45277</v>
      </c>
      <c r="K186" s="2" t="s">
        <v>77</v>
      </c>
      <c r="L186" s="2" t="s">
        <v>21</v>
      </c>
      <c r="M186" s="2" t="s">
        <v>30</v>
      </c>
      <c r="N186" s="2" t="s">
        <v>23</v>
      </c>
      <c r="O186" s="2" t="s">
        <v>24</v>
      </c>
      <c r="P186" s="2" t="s">
        <v>863</v>
      </c>
      <c r="Q186" s="9">
        <v>5000</v>
      </c>
    </row>
    <row r="187" spans="2:17" x14ac:dyDescent="0.25">
      <c r="B187" s="1">
        <f t="shared" si="2"/>
        <v>185</v>
      </c>
      <c r="C187" s="1" t="s">
        <v>405</v>
      </c>
      <c r="D187" s="2" t="s">
        <v>406</v>
      </c>
      <c r="E187" s="2" t="s">
        <v>33</v>
      </c>
      <c r="F187" s="2" t="s">
        <v>17</v>
      </c>
      <c r="G187" s="2" t="s">
        <v>71</v>
      </c>
      <c r="H187" s="2" t="s">
        <v>29</v>
      </c>
      <c r="I187" s="4">
        <v>45457</v>
      </c>
      <c r="J187" s="4">
        <v>45277</v>
      </c>
      <c r="K187" s="2" t="s">
        <v>77</v>
      </c>
      <c r="L187" s="2" t="s">
        <v>21</v>
      </c>
      <c r="M187" s="2" t="s">
        <v>30</v>
      </c>
      <c r="N187" s="2" t="s">
        <v>23</v>
      </c>
      <c r="O187" s="2" t="s">
        <v>24</v>
      </c>
      <c r="P187" s="2" t="s">
        <v>863</v>
      </c>
      <c r="Q187" s="9">
        <v>5000</v>
      </c>
    </row>
    <row r="188" spans="2:17" x14ac:dyDescent="0.25">
      <c r="B188" s="1">
        <f t="shared" si="2"/>
        <v>186</v>
      </c>
      <c r="C188" s="1" t="s">
        <v>407</v>
      </c>
      <c r="D188" s="2" t="s">
        <v>309</v>
      </c>
      <c r="E188" s="2" t="s">
        <v>40</v>
      </c>
      <c r="F188" s="2" t="s">
        <v>17</v>
      </c>
      <c r="G188" s="2" t="s">
        <v>71</v>
      </c>
      <c r="H188" s="2" t="s">
        <v>29</v>
      </c>
      <c r="I188" s="4">
        <v>45457</v>
      </c>
      <c r="J188" s="4">
        <v>45277</v>
      </c>
      <c r="K188" s="2" t="s">
        <v>20</v>
      </c>
      <c r="L188" s="2" t="s">
        <v>21</v>
      </c>
      <c r="M188" s="2" t="s">
        <v>35</v>
      </c>
      <c r="N188" s="2" t="s">
        <v>216</v>
      </c>
      <c r="O188" s="2" t="s">
        <v>24</v>
      </c>
      <c r="P188" s="2" t="s">
        <v>863</v>
      </c>
      <c r="Q188" s="9">
        <v>5000</v>
      </c>
    </row>
    <row r="189" spans="2:17" x14ac:dyDescent="0.25">
      <c r="B189" s="1">
        <f t="shared" si="2"/>
        <v>187</v>
      </c>
      <c r="C189" s="1" t="s">
        <v>408</v>
      </c>
      <c r="D189" s="2" t="s">
        <v>409</v>
      </c>
      <c r="E189" s="2" t="s">
        <v>40</v>
      </c>
      <c r="F189" s="2" t="s">
        <v>198</v>
      </c>
      <c r="G189" s="2" t="s">
        <v>71</v>
      </c>
      <c r="H189" s="2" t="s">
        <v>29</v>
      </c>
      <c r="I189" s="4">
        <v>45457</v>
      </c>
      <c r="J189" s="4">
        <v>45277</v>
      </c>
      <c r="K189" s="2" t="s">
        <v>20</v>
      </c>
      <c r="L189" s="2" t="s">
        <v>21</v>
      </c>
      <c r="M189" s="2" t="s">
        <v>35</v>
      </c>
      <c r="N189" s="2" t="s">
        <v>65</v>
      </c>
      <c r="O189" s="2" t="s">
        <v>37</v>
      </c>
      <c r="P189" s="2" t="s">
        <v>863</v>
      </c>
      <c r="Q189" s="9">
        <v>5000</v>
      </c>
    </row>
    <row r="190" spans="2:17" x14ac:dyDescent="0.25">
      <c r="B190" s="1">
        <f t="shared" si="2"/>
        <v>188</v>
      </c>
      <c r="C190" s="1" t="s">
        <v>410</v>
      </c>
      <c r="D190" s="2" t="s">
        <v>411</v>
      </c>
      <c r="E190" s="2" t="s">
        <v>16</v>
      </c>
      <c r="F190" s="2" t="s">
        <v>17</v>
      </c>
      <c r="G190" s="2" t="s">
        <v>71</v>
      </c>
      <c r="H190" s="2" t="s">
        <v>29</v>
      </c>
      <c r="I190" s="4">
        <v>45457</v>
      </c>
      <c r="J190" s="4">
        <v>45277</v>
      </c>
      <c r="K190" s="2" t="s">
        <v>20</v>
      </c>
      <c r="L190" s="2" t="s">
        <v>21</v>
      </c>
      <c r="M190" s="2" t="s">
        <v>22</v>
      </c>
      <c r="N190" s="2" t="s">
        <v>23</v>
      </c>
      <c r="O190" s="2" t="s">
        <v>24</v>
      </c>
      <c r="P190" s="2" t="s">
        <v>863</v>
      </c>
      <c r="Q190" s="9">
        <v>5000</v>
      </c>
    </row>
    <row r="191" spans="2:17" x14ac:dyDescent="0.25">
      <c r="B191" s="1">
        <f t="shared" si="2"/>
        <v>189</v>
      </c>
      <c r="C191" s="1" t="s">
        <v>412</v>
      </c>
      <c r="D191" s="2" t="s">
        <v>413</v>
      </c>
      <c r="E191" s="2" t="s">
        <v>16</v>
      </c>
      <c r="F191" s="2" t="s">
        <v>17</v>
      </c>
      <c r="G191" s="2" t="s">
        <v>71</v>
      </c>
      <c r="H191" s="2" t="s">
        <v>29</v>
      </c>
      <c r="I191" s="4">
        <v>45457</v>
      </c>
      <c r="J191" s="4">
        <v>45277</v>
      </c>
      <c r="K191" s="2" t="s">
        <v>20</v>
      </c>
      <c r="L191" s="2" t="s">
        <v>21</v>
      </c>
      <c r="M191" s="2" t="s">
        <v>22</v>
      </c>
      <c r="N191" s="2" t="s">
        <v>92</v>
      </c>
      <c r="O191" s="2" t="s">
        <v>43</v>
      </c>
      <c r="P191" s="2" t="s">
        <v>863</v>
      </c>
      <c r="Q191" s="9">
        <v>5000</v>
      </c>
    </row>
    <row r="192" spans="2:17" x14ac:dyDescent="0.25">
      <c r="B192" s="1">
        <f t="shared" si="2"/>
        <v>190</v>
      </c>
      <c r="C192" s="1" t="s">
        <v>414</v>
      </c>
      <c r="D192" s="2" t="s">
        <v>415</v>
      </c>
      <c r="E192" s="2" t="s">
        <v>33</v>
      </c>
      <c r="F192" s="2" t="s">
        <v>17</v>
      </c>
      <c r="G192" s="2" t="s">
        <v>71</v>
      </c>
      <c r="H192" s="2" t="s">
        <v>29</v>
      </c>
      <c r="I192" s="4">
        <v>45457</v>
      </c>
      <c r="J192" s="4">
        <v>45277</v>
      </c>
      <c r="K192" s="2" t="s">
        <v>20</v>
      </c>
      <c r="L192" s="2" t="s">
        <v>21</v>
      </c>
      <c r="M192" s="2" t="s">
        <v>35</v>
      </c>
      <c r="N192" s="2" t="s">
        <v>23</v>
      </c>
      <c r="O192" s="2" t="s">
        <v>24</v>
      </c>
      <c r="P192" s="2" t="s">
        <v>863</v>
      </c>
      <c r="Q192" s="9">
        <v>5000</v>
      </c>
    </row>
    <row r="193" spans="2:17" x14ac:dyDescent="0.25">
      <c r="B193" s="1">
        <f t="shared" si="2"/>
        <v>191</v>
      </c>
      <c r="C193" s="1" t="s">
        <v>416</v>
      </c>
      <c r="D193" s="2" t="s">
        <v>417</v>
      </c>
      <c r="E193" s="2" t="s">
        <v>33</v>
      </c>
      <c r="F193" s="2" t="s">
        <v>17</v>
      </c>
      <c r="G193" s="2" t="s">
        <v>71</v>
      </c>
      <c r="H193" s="2" t="s">
        <v>29</v>
      </c>
      <c r="I193" s="4">
        <v>45457</v>
      </c>
      <c r="J193" s="4">
        <v>45277</v>
      </c>
      <c r="K193" s="2" t="s">
        <v>20</v>
      </c>
      <c r="L193" s="2" t="s">
        <v>21</v>
      </c>
      <c r="M193" s="2" t="s">
        <v>35</v>
      </c>
      <c r="N193" s="2" t="s">
        <v>23</v>
      </c>
      <c r="O193" s="2" t="s">
        <v>24</v>
      </c>
      <c r="P193" s="2" t="s">
        <v>863</v>
      </c>
      <c r="Q193" s="9">
        <v>5000</v>
      </c>
    </row>
    <row r="194" spans="2:17" x14ac:dyDescent="0.25">
      <c r="B194" s="1">
        <f t="shared" si="2"/>
        <v>192</v>
      </c>
      <c r="C194" s="1" t="s">
        <v>418</v>
      </c>
      <c r="D194" s="2" t="s">
        <v>419</v>
      </c>
      <c r="E194" s="2" t="s">
        <v>201</v>
      </c>
      <c r="F194" s="2" t="s">
        <v>198</v>
      </c>
      <c r="G194" s="2" t="s">
        <v>71</v>
      </c>
      <c r="H194" s="2" t="s">
        <v>29</v>
      </c>
      <c r="I194" s="4">
        <v>45457</v>
      </c>
      <c r="J194" s="4">
        <v>45277</v>
      </c>
      <c r="K194" s="2" t="s">
        <v>20</v>
      </c>
      <c r="L194" s="2" t="s">
        <v>21</v>
      </c>
      <c r="M194" s="2" t="s">
        <v>30</v>
      </c>
      <c r="N194" s="2" t="s">
        <v>23</v>
      </c>
      <c r="O194" s="2" t="s">
        <v>24</v>
      </c>
      <c r="P194" s="2" t="s">
        <v>863</v>
      </c>
      <c r="Q194" s="9">
        <v>5000</v>
      </c>
    </row>
    <row r="195" spans="2:17" x14ac:dyDescent="0.25">
      <c r="B195" s="1">
        <f t="shared" ref="B195:B258" si="3">ROW(B193)</f>
        <v>193</v>
      </c>
      <c r="C195" s="1" t="s">
        <v>420</v>
      </c>
      <c r="D195" s="2" t="s">
        <v>421</v>
      </c>
      <c r="E195" s="2" t="s">
        <v>33</v>
      </c>
      <c r="F195" s="2" t="s">
        <v>17</v>
      </c>
      <c r="G195" s="2" t="s">
        <v>71</v>
      </c>
      <c r="H195" s="2" t="s">
        <v>29</v>
      </c>
      <c r="I195" s="4">
        <v>45457</v>
      </c>
      <c r="J195" s="4">
        <v>45277</v>
      </c>
      <c r="K195" s="2" t="s">
        <v>77</v>
      </c>
      <c r="L195" s="2" t="s">
        <v>21</v>
      </c>
      <c r="M195" s="2" t="s">
        <v>35</v>
      </c>
      <c r="N195" s="2" t="s">
        <v>92</v>
      </c>
      <c r="O195" s="2" t="s">
        <v>43</v>
      </c>
      <c r="P195" s="2" t="s">
        <v>863</v>
      </c>
      <c r="Q195" s="9">
        <v>5000</v>
      </c>
    </row>
    <row r="196" spans="2:17" x14ac:dyDescent="0.25">
      <c r="B196" s="1">
        <f t="shared" si="3"/>
        <v>194</v>
      </c>
      <c r="C196" s="1" t="s">
        <v>422</v>
      </c>
      <c r="D196" s="2" t="s">
        <v>423</v>
      </c>
      <c r="E196" s="2" t="s">
        <v>40</v>
      </c>
      <c r="F196" s="2" t="s">
        <v>17</v>
      </c>
      <c r="G196" s="2" t="s">
        <v>71</v>
      </c>
      <c r="H196" s="2" t="s">
        <v>29</v>
      </c>
      <c r="I196" s="4">
        <v>45457</v>
      </c>
      <c r="J196" s="4">
        <v>45277</v>
      </c>
      <c r="K196" s="2" t="s">
        <v>77</v>
      </c>
      <c r="L196" s="2" t="s">
        <v>21</v>
      </c>
      <c r="M196" s="2" t="s">
        <v>22</v>
      </c>
      <c r="N196" s="2" t="s">
        <v>65</v>
      </c>
      <c r="O196" s="2" t="s">
        <v>37</v>
      </c>
      <c r="P196" s="2" t="s">
        <v>863</v>
      </c>
      <c r="Q196" s="9">
        <v>5000</v>
      </c>
    </row>
    <row r="197" spans="2:17" x14ac:dyDescent="0.25">
      <c r="B197" s="1">
        <f t="shared" si="3"/>
        <v>195</v>
      </c>
      <c r="C197" s="1" t="s">
        <v>424</v>
      </c>
      <c r="D197" s="2" t="s">
        <v>425</v>
      </c>
      <c r="E197" s="2" t="s">
        <v>33</v>
      </c>
      <c r="F197" s="2" t="s">
        <v>17</v>
      </c>
      <c r="G197" s="2" t="s">
        <v>71</v>
      </c>
      <c r="H197" s="2" t="s">
        <v>29</v>
      </c>
      <c r="I197" s="4">
        <v>45457</v>
      </c>
      <c r="J197" s="4">
        <v>45277</v>
      </c>
      <c r="K197" s="2" t="s">
        <v>77</v>
      </c>
      <c r="L197" s="2" t="s">
        <v>21</v>
      </c>
      <c r="M197" s="2" t="s">
        <v>30</v>
      </c>
      <c r="N197" s="2" t="s">
        <v>92</v>
      </c>
      <c r="O197" s="2" t="s">
        <v>43</v>
      </c>
      <c r="P197" s="2" t="s">
        <v>863</v>
      </c>
      <c r="Q197" s="9">
        <v>5000</v>
      </c>
    </row>
    <row r="198" spans="2:17" x14ac:dyDescent="0.25">
      <c r="B198" s="1">
        <f t="shared" si="3"/>
        <v>196</v>
      </c>
      <c r="C198" s="1" t="s">
        <v>426</v>
      </c>
      <c r="D198" s="2" t="s">
        <v>427</v>
      </c>
      <c r="E198" s="2" t="s">
        <v>33</v>
      </c>
      <c r="F198" s="2" t="s">
        <v>17</v>
      </c>
      <c r="G198" s="2" t="s">
        <v>71</v>
      </c>
      <c r="H198" s="2" t="s">
        <v>29</v>
      </c>
      <c r="I198" s="4">
        <v>45457</v>
      </c>
      <c r="J198" s="4">
        <v>45277</v>
      </c>
      <c r="K198" s="2" t="s">
        <v>77</v>
      </c>
      <c r="L198" s="2" t="s">
        <v>21</v>
      </c>
      <c r="M198" s="2" t="s">
        <v>22</v>
      </c>
      <c r="N198" s="2" t="s">
        <v>23</v>
      </c>
      <c r="O198" s="2" t="s">
        <v>24</v>
      </c>
      <c r="P198" s="2" t="s">
        <v>863</v>
      </c>
      <c r="Q198" s="9">
        <v>5000</v>
      </c>
    </row>
    <row r="199" spans="2:17" x14ac:dyDescent="0.25">
      <c r="B199" s="1">
        <f t="shared" si="3"/>
        <v>197</v>
      </c>
      <c r="C199" s="1" t="s">
        <v>428</v>
      </c>
      <c r="D199" s="2" t="s">
        <v>429</v>
      </c>
      <c r="E199" s="2" t="s">
        <v>33</v>
      </c>
      <c r="F199" s="2" t="s">
        <v>17</v>
      </c>
      <c r="G199" s="2" t="s">
        <v>71</v>
      </c>
      <c r="H199" s="2" t="s">
        <v>29</v>
      </c>
      <c r="I199" s="4">
        <v>45457</v>
      </c>
      <c r="J199" s="4">
        <v>45277</v>
      </c>
      <c r="K199" s="2" t="s">
        <v>77</v>
      </c>
      <c r="L199" s="2" t="s">
        <v>21</v>
      </c>
      <c r="M199" s="2" t="s">
        <v>30</v>
      </c>
      <c r="N199" s="2" t="s">
        <v>23</v>
      </c>
      <c r="O199" s="2" t="s">
        <v>24</v>
      </c>
      <c r="P199" s="2" t="s">
        <v>863</v>
      </c>
      <c r="Q199" s="9">
        <v>5000</v>
      </c>
    </row>
    <row r="200" spans="2:17" x14ac:dyDescent="0.25">
      <c r="B200" s="1">
        <f t="shared" si="3"/>
        <v>198</v>
      </c>
      <c r="C200" s="1" t="s">
        <v>430</v>
      </c>
      <c r="D200" s="2" t="s">
        <v>431</v>
      </c>
      <c r="E200" s="2" t="s">
        <v>16</v>
      </c>
      <c r="F200" s="2" t="s">
        <v>17</v>
      </c>
      <c r="G200" s="2" t="s">
        <v>71</v>
      </c>
      <c r="H200" s="2" t="s">
        <v>29</v>
      </c>
      <c r="I200" s="4">
        <v>45457</v>
      </c>
      <c r="J200" s="4">
        <v>45277</v>
      </c>
      <c r="K200" s="2" t="s">
        <v>77</v>
      </c>
      <c r="L200" s="2" t="s">
        <v>21</v>
      </c>
      <c r="M200" s="2" t="s">
        <v>22</v>
      </c>
      <c r="N200" s="2" t="s">
        <v>92</v>
      </c>
      <c r="O200" s="2" t="s">
        <v>43</v>
      </c>
      <c r="P200" s="2" t="s">
        <v>863</v>
      </c>
      <c r="Q200" s="9">
        <v>5000</v>
      </c>
    </row>
    <row r="201" spans="2:17" x14ac:dyDescent="0.25">
      <c r="B201" s="1">
        <f t="shared" si="3"/>
        <v>199</v>
      </c>
      <c r="C201" s="1" t="s">
        <v>432</v>
      </c>
      <c r="D201" s="2" t="s">
        <v>433</v>
      </c>
      <c r="E201" s="2" t="s">
        <v>40</v>
      </c>
      <c r="F201" s="2" t="s">
        <v>17</v>
      </c>
      <c r="G201" s="2" t="s">
        <v>71</v>
      </c>
      <c r="H201" s="2" t="s">
        <v>29</v>
      </c>
      <c r="I201" s="4">
        <v>45457</v>
      </c>
      <c r="J201" s="4">
        <v>45277</v>
      </c>
      <c r="K201" s="2" t="s">
        <v>77</v>
      </c>
      <c r="L201" s="2" t="s">
        <v>21</v>
      </c>
      <c r="M201" s="2" t="s">
        <v>22</v>
      </c>
      <c r="N201" s="2" t="s">
        <v>92</v>
      </c>
      <c r="O201" s="2" t="s">
        <v>43</v>
      </c>
      <c r="P201" s="2" t="s">
        <v>863</v>
      </c>
      <c r="Q201" s="9">
        <v>5000</v>
      </c>
    </row>
    <row r="202" spans="2:17" x14ac:dyDescent="0.25">
      <c r="B202" s="1">
        <f t="shared" si="3"/>
        <v>200</v>
      </c>
      <c r="C202" s="1" t="s">
        <v>434</v>
      </c>
      <c r="D202" s="2" t="s">
        <v>435</v>
      </c>
      <c r="E202" s="2" t="s">
        <v>40</v>
      </c>
      <c r="F202" s="2" t="s">
        <v>17</v>
      </c>
      <c r="G202" s="2" t="s">
        <v>71</v>
      </c>
      <c r="H202" s="2" t="s">
        <v>29</v>
      </c>
      <c r="I202" s="4">
        <v>45457</v>
      </c>
      <c r="J202" s="4">
        <v>45277</v>
      </c>
      <c r="K202" s="2" t="s">
        <v>20</v>
      </c>
      <c r="L202" s="2" t="s">
        <v>21</v>
      </c>
      <c r="M202" s="2" t="s">
        <v>111</v>
      </c>
      <c r="N202" s="2" t="s">
        <v>216</v>
      </c>
      <c r="O202" s="2" t="s">
        <v>24</v>
      </c>
      <c r="P202" s="2" t="s">
        <v>863</v>
      </c>
      <c r="Q202" s="9">
        <v>5000</v>
      </c>
    </row>
    <row r="203" spans="2:17" x14ac:dyDescent="0.25">
      <c r="B203" s="1">
        <f t="shared" si="3"/>
        <v>201</v>
      </c>
      <c r="C203" s="1" t="s">
        <v>436</v>
      </c>
      <c r="D203" s="2" t="s">
        <v>437</v>
      </c>
      <c r="E203" s="2" t="s">
        <v>33</v>
      </c>
      <c r="F203" s="2" t="s">
        <v>17</v>
      </c>
      <c r="G203" s="2" t="s">
        <v>71</v>
      </c>
      <c r="H203" s="2" t="s">
        <v>29</v>
      </c>
      <c r="I203" s="4">
        <v>45457</v>
      </c>
      <c r="J203" s="4">
        <v>45277</v>
      </c>
      <c r="K203" s="2" t="s">
        <v>20</v>
      </c>
      <c r="L203" s="2" t="s">
        <v>21</v>
      </c>
      <c r="M203" s="2" t="s">
        <v>35</v>
      </c>
      <c r="N203" s="2" t="s">
        <v>92</v>
      </c>
      <c r="O203" s="2" t="s">
        <v>43</v>
      </c>
      <c r="P203" s="2" t="s">
        <v>863</v>
      </c>
      <c r="Q203" s="9">
        <v>5000</v>
      </c>
    </row>
    <row r="204" spans="2:17" x14ac:dyDescent="0.25">
      <c r="B204" s="1">
        <f t="shared" si="3"/>
        <v>202</v>
      </c>
      <c r="C204" s="1" t="s">
        <v>438</v>
      </c>
      <c r="D204" s="2" t="s">
        <v>439</v>
      </c>
      <c r="E204" s="2" t="s">
        <v>201</v>
      </c>
      <c r="F204" s="2" t="s">
        <v>17</v>
      </c>
      <c r="G204" s="2" t="s">
        <v>71</v>
      </c>
      <c r="H204" s="2" t="s">
        <v>29</v>
      </c>
      <c r="I204" s="4">
        <v>45457</v>
      </c>
      <c r="J204" s="4">
        <v>45277</v>
      </c>
      <c r="K204" s="2" t="s">
        <v>77</v>
      </c>
      <c r="L204" s="2" t="s">
        <v>21</v>
      </c>
      <c r="M204" s="2" t="s">
        <v>54</v>
      </c>
      <c r="N204" s="2" t="s">
        <v>187</v>
      </c>
      <c r="O204" s="2" t="s">
        <v>37</v>
      </c>
      <c r="P204" s="2" t="s">
        <v>863</v>
      </c>
      <c r="Q204" s="9">
        <v>5000</v>
      </c>
    </row>
    <row r="205" spans="2:17" x14ac:dyDescent="0.25">
      <c r="B205" s="1">
        <f t="shared" si="3"/>
        <v>203</v>
      </c>
      <c r="C205" s="1" t="s">
        <v>440</v>
      </c>
      <c r="D205" s="2" t="s">
        <v>441</v>
      </c>
      <c r="E205" s="2" t="s">
        <v>33</v>
      </c>
      <c r="F205" s="2" t="s">
        <v>17</v>
      </c>
      <c r="G205" s="2" t="s">
        <v>71</v>
      </c>
      <c r="H205" s="2" t="s">
        <v>29</v>
      </c>
      <c r="I205" s="4">
        <v>45457</v>
      </c>
      <c r="J205" s="4">
        <v>45277</v>
      </c>
      <c r="K205" s="2" t="s">
        <v>77</v>
      </c>
      <c r="L205" s="2" t="s">
        <v>21</v>
      </c>
      <c r="M205" s="2" t="s">
        <v>35</v>
      </c>
      <c r="N205" s="2" t="s">
        <v>92</v>
      </c>
      <c r="O205" s="2" t="s">
        <v>43</v>
      </c>
      <c r="P205" s="2" t="s">
        <v>863</v>
      </c>
      <c r="Q205" s="9">
        <v>5000</v>
      </c>
    </row>
    <row r="206" spans="2:17" x14ac:dyDescent="0.25">
      <c r="B206" s="1">
        <f t="shared" si="3"/>
        <v>204</v>
      </c>
      <c r="C206" s="1" t="s">
        <v>442</v>
      </c>
      <c r="D206" s="2" t="s">
        <v>443</v>
      </c>
      <c r="E206" s="2" t="s">
        <v>40</v>
      </c>
      <c r="F206" s="2" t="s">
        <v>17</v>
      </c>
      <c r="G206" s="2" t="s">
        <v>71</v>
      </c>
      <c r="H206" s="2" t="s">
        <v>29</v>
      </c>
      <c r="I206" s="4">
        <v>45457</v>
      </c>
      <c r="J206" s="4">
        <v>45277</v>
      </c>
      <c r="K206" s="2" t="s">
        <v>77</v>
      </c>
      <c r="L206" s="2" t="s">
        <v>21</v>
      </c>
      <c r="M206" s="2" t="s">
        <v>30</v>
      </c>
      <c r="N206" s="2" t="s">
        <v>23</v>
      </c>
      <c r="O206" s="2" t="s">
        <v>24</v>
      </c>
      <c r="P206" s="2" t="s">
        <v>863</v>
      </c>
      <c r="Q206" s="9">
        <v>5000</v>
      </c>
    </row>
    <row r="207" spans="2:17" x14ac:dyDescent="0.25">
      <c r="B207" s="1">
        <f t="shared" si="3"/>
        <v>205</v>
      </c>
      <c r="C207" s="1" t="s">
        <v>444</v>
      </c>
      <c r="D207" s="2" t="s">
        <v>445</v>
      </c>
      <c r="E207" s="2" t="s">
        <v>40</v>
      </c>
      <c r="F207" s="2" t="s">
        <v>17</v>
      </c>
      <c r="G207" s="2" t="s">
        <v>71</v>
      </c>
      <c r="H207" s="2" t="s">
        <v>29</v>
      </c>
      <c r="I207" s="4">
        <v>45457</v>
      </c>
      <c r="J207" s="4">
        <v>45277</v>
      </c>
      <c r="K207" s="2" t="s">
        <v>77</v>
      </c>
      <c r="L207" s="2" t="s">
        <v>34</v>
      </c>
      <c r="M207" s="2" t="s">
        <v>30</v>
      </c>
      <c r="N207" s="2" t="s">
        <v>23</v>
      </c>
      <c r="O207" s="2" t="s">
        <v>24</v>
      </c>
      <c r="P207" s="2" t="s">
        <v>863</v>
      </c>
      <c r="Q207" s="9">
        <v>5000</v>
      </c>
    </row>
    <row r="208" spans="2:17" x14ac:dyDescent="0.25">
      <c r="B208" s="1">
        <f t="shared" si="3"/>
        <v>206</v>
      </c>
      <c r="C208" s="1" t="s">
        <v>446</v>
      </c>
      <c r="D208" s="2" t="s">
        <v>447</v>
      </c>
      <c r="E208" s="2" t="s">
        <v>40</v>
      </c>
      <c r="F208" s="2" t="s">
        <v>17</v>
      </c>
      <c r="G208" s="2" t="s">
        <v>71</v>
      </c>
      <c r="H208" s="2" t="s">
        <v>29</v>
      </c>
      <c r="I208" s="4">
        <v>45457</v>
      </c>
      <c r="J208" s="4">
        <v>45277</v>
      </c>
      <c r="K208" s="2" t="s">
        <v>77</v>
      </c>
      <c r="L208" s="2" t="s">
        <v>21</v>
      </c>
      <c r="M208" s="2" t="s">
        <v>35</v>
      </c>
      <c r="N208" s="2" t="s">
        <v>23</v>
      </c>
      <c r="O208" s="2" t="s">
        <v>24</v>
      </c>
      <c r="P208" s="2" t="s">
        <v>863</v>
      </c>
      <c r="Q208" s="9">
        <v>5000</v>
      </c>
    </row>
    <row r="209" spans="2:17" x14ac:dyDescent="0.25">
      <c r="B209" s="1">
        <f t="shared" si="3"/>
        <v>207</v>
      </c>
      <c r="C209" s="1" t="s">
        <v>448</v>
      </c>
      <c r="D209" s="2" t="s">
        <v>449</v>
      </c>
      <c r="E209" s="2" t="s">
        <v>40</v>
      </c>
      <c r="F209" s="2" t="s">
        <v>17</v>
      </c>
      <c r="G209" s="2" t="s">
        <v>71</v>
      </c>
      <c r="H209" s="2" t="s">
        <v>29</v>
      </c>
      <c r="I209" s="4">
        <v>45457</v>
      </c>
      <c r="J209" s="4">
        <v>45277</v>
      </c>
      <c r="K209" s="2" t="s">
        <v>20</v>
      </c>
      <c r="L209" s="2" t="s">
        <v>21</v>
      </c>
      <c r="M209" s="2" t="s">
        <v>22</v>
      </c>
      <c r="N209" s="2" t="s">
        <v>23</v>
      </c>
      <c r="O209" s="2" t="s">
        <v>24</v>
      </c>
      <c r="P209" s="2" t="s">
        <v>863</v>
      </c>
      <c r="Q209" s="9">
        <v>5000</v>
      </c>
    </row>
    <row r="210" spans="2:17" x14ac:dyDescent="0.25">
      <c r="B210" s="1">
        <f t="shared" si="3"/>
        <v>208</v>
      </c>
      <c r="C210" s="1" t="s">
        <v>450</v>
      </c>
      <c r="D210" s="2" t="s">
        <v>451</v>
      </c>
      <c r="E210" s="2" t="s">
        <v>40</v>
      </c>
      <c r="F210" s="2" t="s">
        <v>198</v>
      </c>
      <c r="G210" s="2" t="s">
        <v>71</v>
      </c>
      <c r="H210" s="2" t="s">
        <v>29</v>
      </c>
      <c r="I210" s="4">
        <v>45458</v>
      </c>
      <c r="J210" s="4">
        <v>45278</v>
      </c>
      <c r="K210" s="2" t="s">
        <v>20</v>
      </c>
      <c r="L210" s="2" t="s">
        <v>21</v>
      </c>
      <c r="M210" s="2" t="s">
        <v>22</v>
      </c>
      <c r="N210" s="2" t="s">
        <v>23</v>
      </c>
      <c r="O210" s="2" t="s">
        <v>24</v>
      </c>
      <c r="P210" s="2" t="s">
        <v>863</v>
      </c>
      <c r="Q210" s="9">
        <v>5000</v>
      </c>
    </row>
    <row r="211" spans="2:17" x14ac:dyDescent="0.25">
      <c r="B211" s="1">
        <f t="shared" si="3"/>
        <v>209</v>
      </c>
      <c r="C211" s="1" t="s">
        <v>452</v>
      </c>
      <c r="D211" s="2" t="s">
        <v>453</v>
      </c>
      <c r="E211" s="2" t="s">
        <v>40</v>
      </c>
      <c r="F211" s="2" t="s">
        <v>17</v>
      </c>
      <c r="G211" s="2" t="s">
        <v>71</v>
      </c>
      <c r="H211" s="2" t="s">
        <v>29</v>
      </c>
      <c r="I211" s="4">
        <v>45458</v>
      </c>
      <c r="J211" s="4">
        <v>45278</v>
      </c>
      <c r="K211" s="2" t="s">
        <v>77</v>
      </c>
      <c r="L211" s="2" t="s">
        <v>21</v>
      </c>
      <c r="M211" s="2" t="s">
        <v>30</v>
      </c>
      <c r="N211" s="2" t="s">
        <v>23</v>
      </c>
      <c r="O211" s="2" t="s">
        <v>24</v>
      </c>
      <c r="P211" s="2" t="s">
        <v>863</v>
      </c>
      <c r="Q211" s="9">
        <v>5000</v>
      </c>
    </row>
    <row r="212" spans="2:17" x14ac:dyDescent="0.25">
      <c r="B212" s="1">
        <f t="shared" si="3"/>
        <v>210</v>
      </c>
      <c r="C212" s="1" t="s">
        <v>454</v>
      </c>
      <c r="D212" s="2" t="s">
        <v>455</v>
      </c>
      <c r="E212" s="2" t="s">
        <v>33</v>
      </c>
      <c r="F212" s="2" t="s">
        <v>17</v>
      </c>
      <c r="G212" s="2" t="s">
        <v>71</v>
      </c>
      <c r="H212" s="2" t="s">
        <v>29</v>
      </c>
      <c r="I212" s="4">
        <v>45458</v>
      </c>
      <c r="J212" s="4">
        <v>45278</v>
      </c>
      <c r="K212" s="2" t="s">
        <v>77</v>
      </c>
      <c r="L212" s="2" t="s">
        <v>21</v>
      </c>
      <c r="M212" s="2" t="s">
        <v>22</v>
      </c>
      <c r="N212" s="2" t="s">
        <v>112</v>
      </c>
      <c r="O212" s="2" t="s">
        <v>43</v>
      </c>
      <c r="P212" s="2" t="s">
        <v>863</v>
      </c>
      <c r="Q212" s="9">
        <v>5000</v>
      </c>
    </row>
    <row r="213" spans="2:17" x14ac:dyDescent="0.25">
      <c r="B213" s="1">
        <f t="shared" si="3"/>
        <v>211</v>
      </c>
      <c r="C213" s="1" t="s">
        <v>456</v>
      </c>
      <c r="D213" s="2" t="s">
        <v>457</v>
      </c>
      <c r="E213" s="2" t="s">
        <v>16</v>
      </c>
      <c r="F213" s="2" t="s">
        <v>17</v>
      </c>
      <c r="G213" s="2" t="s">
        <v>71</v>
      </c>
      <c r="H213" s="2" t="s">
        <v>29</v>
      </c>
      <c r="I213" s="4">
        <v>45458</v>
      </c>
      <c r="J213" s="4">
        <v>45278</v>
      </c>
      <c r="K213" s="2" t="s">
        <v>77</v>
      </c>
      <c r="L213" s="2" t="s">
        <v>21</v>
      </c>
      <c r="M213" s="2" t="s">
        <v>35</v>
      </c>
      <c r="N213" s="2" t="s">
        <v>92</v>
      </c>
      <c r="O213" s="2" t="s">
        <v>43</v>
      </c>
      <c r="P213" s="2" t="s">
        <v>863</v>
      </c>
      <c r="Q213" s="9">
        <v>5000</v>
      </c>
    </row>
    <row r="214" spans="2:17" x14ac:dyDescent="0.25">
      <c r="B214" s="1">
        <f t="shared" si="3"/>
        <v>212</v>
      </c>
      <c r="C214" s="1" t="s">
        <v>458</v>
      </c>
      <c r="D214" s="2" t="s">
        <v>459</v>
      </c>
      <c r="E214" s="2" t="s">
        <v>40</v>
      </c>
      <c r="F214" s="2" t="s">
        <v>17</v>
      </c>
      <c r="G214" s="2" t="s">
        <v>71</v>
      </c>
      <c r="H214" s="2" t="s">
        <v>29</v>
      </c>
      <c r="I214" s="4">
        <v>45458</v>
      </c>
      <c r="J214" s="4">
        <v>45278</v>
      </c>
      <c r="K214" s="2" t="s">
        <v>77</v>
      </c>
      <c r="L214" s="2" t="s">
        <v>21</v>
      </c>
      <c r="M214" s="2" t="s">
        <v>22</v>
      </c>
      <c r="N214" s="2" t="s">
        <v>460</v>
      </c>
      <c r="O214" s="2" t="s">
        <v>47</v>
      </c>
      <c r="P214" s="2" t="s">
        <v>863</v>
      </c>
      <c r="Q214" s="9">
        <v>5000</v>
      </c>
    </row>
    <row r="215" spans="2:17" x14ac:dyDescent="0.25">
      <c r="B215" s="1">
        <f t="shared" si="3"/>
        <v>213</v>
      </c>
      <c r="C215" s="1" t="s">
        <v>461</v>
      </c>
      <c r="D215" s="2" t="s">
        <v>462</v>
      </c>
      <c r="E215" s="2" t="s">
        <v>33</v>
      </c>
      <c r="F215" s="2" t="s">
        <v>17</v>
      </c>
      <c r="G215" s="2" t="s">
        <v>71</v>
      </c>
      <c r="H215" s="2" t="s">
        <v>29</v>
      </c>
      <c r="I215" s="4">
        <v>45458</v>
      </c>
      <c r="J215" s="4">
        <v>45278</v>
      </c>
      <c r="K215" s="2" t="s">
        <v>77</v>
      </c>
      <c r="L215" s="2" t="s">
        <v>34</v>
      </c>
      <c r="M215" s="2" t="s">
        <v>30</v>
      </c>
      <c r="N215" s="2" t="s">
        <v>23</v>
      </c>
      <c r="O215" s="2" t="s">
        <v>24</v>
      </c>
      <c r="P215" s="2" t="s">
        <v>863</v>
      </c>
      <c r="Q215" s="9">
        <v>5000</v>
      </c>
    </row>
    <row r="216" spans="2:17" x14ac:dyDescent="0.25">
      <c r="B216" s="1">
        <f t="shared" si="3"/>
        <v>214</v>
      </c>
      <c r="C216" s="1" t="s">
        <v>463</v>
      </c>
      <c r="D216" s="2" t="s">
        <v>464</v>
      </c>
      <c r="E216" s="2" t="s">
        <v>16</v>
      </c>
      <c r="F216" s="2" t="s">
        <v>17</v>
      </c>
      <c r="G216" s="2" t="s">
        <v>71</v>
      </c>
      <c r="H216" s="2" t="s">
        <v>29</v>
      </c>
      <c r="I216" s="4">
        <v>45458</v>
      </c>
      <c r="J216" s="4">
        <v>45278</v>
      </c>
      <c r="K216" s="2" t="s">
        <v>77</v>
      </c>
      <c r="L216" s="2" t="s">
        <v>21</v>
      </c>
      <c r="M216" s="2" t="s">
        <v>30</v>
      </c>
      <c r="N216" s="2" t="s">
        <v>23</v>
      </c>
      <c r="O216" s="2" t="s">
        <v>24</v>
      </c>
      <c r="P216" s="2" t="s">
        <v>863</v>
      </c>
      <c r="Q216" s="9">
        <v>5000</v>
      </c>
    </row>
    <row r="217" spans="2:17" x14ac:dyDescent="0.25">
      <c r="B217" s="1">
        <f t="shared" si="3"/>
        <v>215</v>
      </c>
      <c r="C217" s="1" t="s">
        <v>465</v>
      </c>
      <c r="D217" s="2" t="s">
        <v>466</v>
      </c>
      <c r="E217" s="2" t="s">
        <v>40</v>
      </c>
      <c r="F217" s="2" t="s">
        <v>17</v>
      </c>
      <c r="G217" s="2" t="s">
        <v>71</v>
      </c>
      <c r="H217" s="2" t="s">
        <v>29</v>
      </c>
      <c r="I217" s="4">
        <v>45458</v>
      </c>
      <c r="J217" s="4">
        <v>45278</v>
      </c>
      <c r="K217" s="2" t="s">
        <v>20</v>
      </c>
      <c r="L217" s="2" t="s">
        <v>21</v>
      </c>
      <c r="M217" s="2" t="s">
        <v>35</v>
      </c>
      <c r="N217" s="2" t="s">
        <v>23</v>
      </c>
      <c r="O217" s="2" t="s">
        <v>24</v>
      </c>
      <c r="P217" s="2" t="s">
        <v>863</v>
      </c>
      <c r="Q217" s="9">
        <v>5000</v>
      </c>
    </row>
    <row r="218" spans="2:17" x14ac:dyDescent="0.25">
      <c r="B218" s="1">
        <f t="shared" si="3"/>
        <v>216</v>
      </c>
      <c r="C218" s="1" t="s">
        <v>467</v>
      </c>
      <c r="D218" s="2" t="s">
        <v>468</v>
      </c>
      <c r="E218" s="2" t="s">
        <v>40</v>
      </c>
      <c r="F218" s="2" t="s">
        <v>17</v>
      </c>
      <c r="G218" s="2" t="s">
        <v>71</v>
      </c>
      <c r="H218" s="2" t="s">
        <v>29</v>
      </c>
      <c r="I218" s="4">
        <v>45458</v>
      </c>
      <c r="J218" s="4">
        <v>45278</v>
      </c>
      <c r="K218" s="2" t="s">
        <v>20</v>
      </c>
      <c r="L218" s="2" t="s">
        <v>34</v>
      </c>
      <c r="M218" s="2" t="s">
        <v>22</v>
      </c>
      <c r="N218" s="2" t="s">
        <v>23</v>
      </c>
      <c r="O218" s="2" t="s">
        <v>24</v>
      </c>
      <c r="P218" s="2" t="s">
        <v>863</v>
      </c>
      <c r="Q218" s="9">
        <v>5000</v>
      </c>
    </row>
    <row r="219" spans="2:17" x14ac:dyDescent="0.25">
      <c r="B219" s="1">
        <f t="shared" si="3"/>
        <v>217</v>
      </c>
      <c r="C219" s="1" t="s">
        <v>469</v>
      </c>
      <c r="D219" s="2" t="s">
        <v>470</v>
      </c>
      <c r="E219" s="2" t="s">
        <v>33</v>
      </c>
      <c r="F219" s="2" t="s">
        <v>17</v>
      </c>
      <c r="G219" s="2" t="s">
        <v>71</v>
      </c>
      <c r="H219" s="2" t="s">
        <v>29</v>
      </c>
      <c r="I219" s="4">
        <v>45458</v>
      </c>
      <c r="J219" s="4">
        <v>45278</v>
      </c>
      <c r="K219" s="2" t="s">
        <v>20</v>
      </c>
      <c r="L219" s="2" t="s">
        <v>21</v>
      </c>
      <c r="M219" s="2" t="s">
        <v>35</v>
      </c>
      <c r="N219" s="2" t="s">
        <v>23</v>
      </c>
      <c r="O219" s="2" t="s">
        <v>24</v>
      </c>
      <c r="P219" s="2" t="s">
        <v>863</v>
      </c>
      <c r="Q219" s="9">
        <v>5000</v>
      </c>
    </row>
    <row r="220" spans="2:17" x14ac:dyDescent="0.25">
      <c r="B220" s="1">
        <f t="shared" si="3"/>
        <v>218</v>
      </c>
      <c r="C220" s="1" t="s">
        <v>471</v>
      </c>
      <c r="D220" s="2" t="s">
        <v>472</v>
      </c>
      <c r="E220" s="2" t="s">
        <v>40</v>
      </c>
      <c r="F220" s="2" t="s">
        <v>17</v>
      </c>
      <c r="G220" s="2" t="s">
        <v>71</v>
      </c>
      <c r="H220" s="2" t="s">
        <v>29</v>
      </c>
      <c r="I220" s="4">
        <v>45458</v>
      </c>
      <c r="J220" s="4">
        <v>45278</v>
      </c>
      <c r="K220" s="2" t="s">
        <v>20</v>
      </c>
      <c r="L220" s="2" t="s">
        <v>21</v>
      </c>
      <c r="M220" s="2" t="s">
        <v>35</v>
      </c>
      <c r="N220" s="2" t="s">
        <v>23</v>
      </c>
      <c r="O220" s="2" t="s">
        <v>24</v>
      </c>
      <c r="P220" s="2" t="s">
        <v>863</v>
      </c>
      <c r="Q220" s="9">
        <v>5000</v>
      </c>
    </row>
    <row r="221" spans="2:17" x14ac:dyDescent="0.25">
      <c r="B221" s="1">
        <f t="shared" si="3"/>
        <v>219</v>
      </c>
      <c r="C221" s="1" t="s">
        <v>473</v>
      </c>
      <c r="D221" s="2" t="s">
        <v>474</v>
      </c>
      <c r="E221" s="2" t="s">
        <v>16</v>
      </c>
      <c r="F221" s="2" t="s">
        <v>17</v>
      </c>
      <c r="G221" s="2" t="s">
        <v>71</v>
      </c>
      <c r="H221" s="2" t="s">
        <v>29</v>
      </c>
      <c r="I221" s="4">
        <v>45458</v>
      </c>
      <c r="J221" s="4">
        <v>45278</v>
      </c>
      <c r="K221" s="2" t="s">
        <v>20</v>
      </c>
      <c r="L221" s="2" t="s">
        <v>21</v>
      </c>
      <c r="M221" s="2" t="s">
        <v>30</v>
      </c>
      <c r="N221" s="2" t="s">
        <v>92</v>
      </c>
      <c r="O221" s="2" t="s">
        <v>43</v>
      </c>
      <c r="P221" s="2" t="s">
        <v>863</v>
      </c>
      <c r="Q221" s="9">
        <v>5000</v>
      </c>
    </row>
    <row r="222" spans="2:17" x14ac:dyDescent="0.25">
      <c r="B222" s="1">
        <f t="shared" si="3"/>
        <v>220</v>
      </c>
      <c r="C222" s="1" t="s">
        <v>475</v>
      </c>
      <c r="D222" s="2" t="s">
        <v>476</v>
      </c>
      <c r="E222" s="2" t="s">
        <v>40</v>
      </c>
      <c r="F222" s="2" t="s">
        <v>17</v>
      </c>
      <c r="G222" s="2" t="s">
        <v>71</v>
      </c>
      <c r="H222" s="2" t="s">
        <v>29</v>
      </c>
      <c r="I222" s="4">
        <v>45458</v>
      </c>
      <c r="J222" s="4">
        <v>45278</v>
      </c>
      <c r="K222" s="2" t="s">
        <v>20</v>
      </c>
      <c r="L222" s="2" t="s">
        <v>21</v>
      </c>
      <c r="M222" s="2" t="s">
        <v>35</v>
      </c>
      <c r="N222" s="2" t="s">
        <v>477</v>
      </c>
      <c r="O222" s="2" t="s">
        <v>37</v>
      </c>
      <c r="P222" s="2" t="s">
        <v>863</v>
      </c>
      <c r="Q222" s="9">
        <v>5000</v>
      </c>
    </row>
    <row r="223" spans="2:17" x14ac:dyDescent="0.25">
      <c r="B223" s="1">
        <f t="shared" si="3"/>
        <v>221</v>
      </c>
      <c r="C223" s="1" t="s">
        <v>478</v>
      </c>
      <c r="D223" s="2" t="s">
        <v>479</v>
      </c>
      <c r="E223" s="2" t="s">
        <v>40</v>
      </c>
      <c r="F223" s="2" t="s">
        <v>17</v>
      </c>
      <c r="G223" s="2" t="s">
        <v>71</v>
      </c>
      <c r="H223" s="2" t="s">
        <v>29</v>
      </c>
      <c r="I223" s="4">
        <v>45458</v>
      </c>
      <c r="J223" s="4">
        <v>45278</v>
      </c>
      <c r="K223" s="2" t="s">
        <v>77</v>
      </c>
      <c r="L223" s="2" t="s">
        <v>21</v>
      </c>
      <c r="M223" s="2" t="s">
        <v>35</v>
      </c>
      <c r="N223" s="2" t="s">
        <v>216</v>
      </c>
      <c r="O223" s="2" t="s">
        <v>24</v>
      </c>
      <c r="P223" s="2" t="s">
        <v>863</v>
      </c>
      <c r="Q223" s="9">
        <v>5000</v>
      </c>
    </row>
    <row r="224" spans="2:17" x14ac:dyDescent="0.25">
      <c r="B224" s="1">
        <f t="shared" si="3"/>
        <v>222</v>
      </c>
      <c r="C224" s="1" t="s">
        <v>480</v>
      </c>
      <c r="D224" s="2" t="s">
        <v>481</v>
      </c>
      <c r="E224" s="2" t="s">
        <v>33</v>
      </c>
      <c r="F224" s="2" t="s">
        <v>198</v>
      </c>
      <c r="G224" s="2" t="s">
        <v>71</v>
      </c>
      <c r="H224" s="2" t="s">
        <v>29</v>
      </c>
      <c r="I224" s="4">
        <v>45458</v>
      </c>
      <c r="J224" s="4">
        <v>45278</v>
      </c>
      <c r="K224" s="2" t="s">
        <v>20</v>
      </c>
      <c r="L224" s="2" t="s">
        <v>21</v>
      </c>
      <c r="M224" s="2" t="s">
        <v>35</v>
      </c>
      <c r="N224" s="2" t="s">
        <v>23</v>
      </c>
      <c r="O224" s="2" t="s">
        <v>24</v>
      </c>
      <c r="P224" s="2" t="s">
        <v>863</v>
      </c>
      <c r="Q224" s="9">
        <v>5000</v>
      </c>
    </row>
    <row r="225" spans="2:17" x14ac:dyDescent="0.25">
      <c r="B225" s="1">
        <f t="shared" si="3"/>
        <v>223</v>
      </c>
      <c r="C225" s="1" t="s">
        <v>482</v>
      </c>
      <c r="D225" s="2" t="s">
        <v>483</v>
      </c>
      <c r="E225" s="2" t="s">
        <v>40</v>
      </c>
      <c r="F225" s="2" t="s">
        <v>17</v>
      </c>
      <c r="G225" s="2" t="s">
        <v>71</v>
      </c>
      <c r="H225" s="2" t="s">
        <v>29</v>
      </c>
      <c r="I225" s="4">
        <v>45458</v>
      </c>
      <c r="J225" s="4">
        <v>45278</v>
      </c>
      <c r="K225" s="2" t="s">
        <v>20</v>
      </c>
      <c r="L225" s="2" t="s">
        <v>21</v>
      </c>
      <c r="M225" s="2" t="s">
        <v>22</v>
      </c>
      <c r="N225" s="2" t="s">
        <v>285</v>
      </c>
      <c r="O225" s="2" t="s">
        <v>43</v>
      </c>
      <c r="P225" s="2" t="s">
        <v>863</v>
      </c>
      <c r="Q225" s="9">
        <v>5000</v>
      </c>
    </row>
    <row r="226" spans="2:17" x14ac:dyDescent="0.25">
      <c r="B226" s="1">
        <f t="shared" si="3"/>
        <v>224</v>
      </c>
      <c r="C226" s="1" t="s">
        <v>484</v>
      </c>
      <c r="D226" s="2" t="s">
        <v>485</v>
      </c>
      <c r="E226" s="2" t="s">
        <v>40</v>
      </c>
      <c r="F226" s="2" t="s">
        <v>17</v>
      </c>
      <c r="G226" s="2" t="s">
        <v>71</v>
      </c>
      <c r="H226" s="2" t="s">
        <v>29</v>
      </c>
      <c r="I226" s="4">
        <v>45458</v>
      </c>
      <c r="J226" s="4">
        <v>45278</v>
      </c>
      <c r="K226" s="2" t="s">
        <v>77</v>
      </c>
      <c r="L226" s="2" t="s">
        <v>21</v>
      </c>
      <c r="M226" s="2" t="s">
        <v>22</v>
      </c>
      <c r="N226" s="2" t="s">
        <v>221</v>
      </c>
      <c r="O226" s="2" t="s">
        <v>43</v>
      </c>
      <c r="P226" s="2" t="s">
        <v>863</v>
      </c>
      <c r="Q226" s="9">
        <v>5000</v>
      </c>
    </row>
    <row r="227" spans="2:17" x14ac:dyDescent="0.25">
      <c r="B227" s="1">
        <f t="shared" si="3"/>
        <v>225</v>
      </c>
      <c r="C227" s="1" t="s">
        <v>486</v>
      </c>
      <c r="D227" s="2" t="s">
        <v>487</v>
      </c>
      <c r="E227" s="2" t="s">
        <v>16</v>
      </c>
      <c r="F227" s="2" t="s">
        <v>17</v>
      </c>
      <c r="G227" s="2" t="s">
        <v>71</v>
      </c>
      <c r="H227" s="2" t="s">
        <v>29</v>
      </c>
      <c r="I227" s="4">
        <v>45459</v>
      </c>
      <c r="J227" s="4">
        <v>45279</v>
      </c>
      <c r="K227" s="2" t="s">
        <v>20</v>
      </c>
      <c r="L227" s="2" t="s">
        <v>21</v>
      </c>
      <c r="M227" s="2" t="s">
        <v>22</v>
      </c>
      <c r="N227" s="2" t="s">
        <v>221</v>
      </c>
      <c r="O227" s="2" t="s">
        <v>43</v>
      </c>
      <c r="P227" s="2" t="s">
        <v>863</v>
      </c>
      <c r="Q227" s="9">
        <v>5000</v>
      </c>
    </row>
    <row r="228" spans="2:17" x14ac:dyDescent="0.25">
      <c r="B228" s="1">
        <f t="shared" si="3"/>
        <v>226</v>
      </c>
      <c r="C228" s="1" t="s">
        <v>488</v>
      </c>
      <c r="D228" s="2" t="s">
        <v>489</v>
      </c>
      <c r="E228" s="2" t="s">
        <v>33</v>
      </c>
      <c r="F228" s="2" t="s">
        <v>17</v>
      </c>
      <c r="G228" s="2" t="s">
        <v>71</v>
      </c>
      <c r="H228" s="2" t="s">
        <v>29</v>
      </c>
      <c r="I228" s="4">
        <v>45459</v>
      </c>
      <c r="J228" s="4">
        <v>45279</v>
      </c>
      <c r="K228" s="2" t="s">
        <v>20</v>
      </c>
      <c r="L228" s="2" t="s">
        <v>21</v>
      </c>
      <c r="M228" s="2" t="s">
        <v>22</v>
      </c>
      <c r="N228" s="2" t="s">
        <v>216</v>
      </c>
      <c r="O228" s="2" t="s">
        <v>24</v>
      </c>
      <c r="P228" s="2" t="s">
        <v>863</v>
      </c>
      <c r="Q228" s="9">
        <v>5000</v>
      </c>
    </row>
    <row r="229" spans="2:17" x14ac:dyDescent="0.25">
      <c r="B229" s="1">
        <f t="shared" si="3"/>
        <v>227</v>
      </c>
      <c r="C229" s="1" t="s">
        <v>490</v>
      </c>
      <c r="D229" s="2" t="s">
        <v>491</v>
      </c>
      <c r="E229" s="2" t="s">
        <v>40</v>
      </c>
      <c r="F229" s="2" t="s">
        <v>17</v>
      </c>
      <c r="G229" s="2" t="s">
        <v>71</v>
      </c>
      <c r="H229" s="2" t="s">
        <v>29</v>
      </c>
      <c r="I229" s="4">
        <v>45459</v>
      </c>
      <c r="J229" s="4">
        <v>45279</v>
      </c>
      <c r="K229" s="2" t="s">
        <v>20</v>
      </c>
      <c r="L229" s="2" t="s">
        <v>21</v>
      </c>
      <c r="M229" s="2" t="s">
        <v>111</v>
      </c>
      <c r="N229" s="2" t="s">
        <v>221</v>
      </c>
      <c r="O229" s="2" t="s">
        <v>43</v>
      </c>
      <c r="P229" s="2" t="s">
        <v>863</v>
      </c>
      <c r="Q229" s="9">
        <v>5000</v>
      </c>
    </row>
    <row r="230" spans="2:17" x14ac:dyDescent="0.25">
      <c r="B230" s="1">
        <f t="shared" si="3"/>
        <v>228</v>
      </c>
      <c r="C230" s="1" t="s">
        <v>492</v>
      </c>
      <c r="D230" s="2" t="s">
        <v>493</v>
      </c>
      <c r="E230" s="2" t="s">
        <v>33</v>
      </c>
      <c r="F230" s="2" t="s">
        <v>17</v>
      </c>
      <c r="G230" s="2" t="s">
        <v>71</v>
      </c>
      <c r="H230" s="2" t="s">
        <v>29</v>
      </c>
      <c r="I230" s="4">
        <v>45459</v>
      </c>
      <c r="J230" s="4">
        <v>45279</v>
      </c>
      <c r="K230" s="2" t="s">
        <v>20</v>
      </c>
      <c r="L230" s="2" t="s">
        <v>21</v>
      </c>
      <c r="M230" s="2" t="s">
        <v>30</v>
      </c>
      <c r="N230" s="2" t="s">
        <v>216</v>
      </c>
      <c r="O230" s="2" t="s">
        <v>24</v>
      </c>
      <c r="P230" s="2" t="s">
        <v>863</v>
      </c>
      <c r="Q230" s="9">
        <v>5000</v>
      </c>
    </row>
    <row r="231" spans="2:17" x14ac:dyDescent="0.25">
      <c r="B231" s="1">
        <f t="shared" si="3"/>
        <v>229</v>
      </c>
      <c r="C231" s="1" t="s">
        <v>494</v>
      </c>
      <c r="D231" s="2" t="s">
        <v>495</v>
      </c>
      <c r="E231" s="2" t="s">
        <v>40</v>
      </c>
      <c r="F231" s="2" t="s">
        <v>17</v>
      </c>
      <c r="G231" s="2" t="s">
        <v>71</v>
      </c>
      <c r="H231" s="2" t="s">
        <v>29</v>
      </c>
      <c r="I231" s="4">
        <v>45460</v>
      </c>
      <c r="J231" s="4">
        <v>45280</v>
      </c>
      <c r="K231" s="2" t="s">
        <v>77</v>
      </c>
      <c r="L231" s="2" t="s">
        <v>21</v>
      </c>
      <c r="M231" s="2" t="s">
        <v>22</v>
      </c>
      <c r="N231" s="2" t="s">
        <v>92</v>
      </c>
      <c r="O231" s="2" t="s">
        <v>43</v>
      </c>
      <c r="P231" s="2" t="s">
        <v>863</v>
      </c>
      <c r="Q231" s="9">
        <v>5000</v>
      </c>
    </row>
    <row r="232" spans="2:17" x14ac:dyDescent="0.25">
      <c r="B232" s="1">
        <f t="shared" si="3"/>
        <v>230</v>
      </c>
      <c r="C232" s="1" t="s">
        <v>496</v>
      </c>
      <c r="D232" s="2" t="s">
        <v>497</v>
      </c>
      <c r="E232" s="2" t="s">
        <v>40</v>
      </c>
      <c r="F232" s="2" t="s">
        <v>17</v>
      </c>
      <c r="G232" s="2" t="s">
        <v>71</v>
      </c>
      <c r="H232" s="2" t="s">
        <v>29</v>
      </c>
      <c r="I232" s="4">
        <v>45460</v>
      </c>
      <c r="J232" s="4">
        <v>45280</v>
      </c>
      <c r="K232" s="2" t="s">
        <v>77</v>
      </c>
      <c r="L232" s="2" t="s">
        <v>21</v>
      </c>
      <c r="M232" s="2" t="s">
        <v>54</v>
      </c>
      <c r="N232" s="2" t="s">
        <v>23</v>
      </c>
      <c r="O232" s="2" t="s">
        <v>24</v>
      </c>
      <c r="P232" s="2" t="s">
        <v>863</v>
      </c>
      <c r="Q232" s="9">
        <v>5000</v>
      </c>
    </row>
    <row r="233" spans="2:17" x14ac:dyDescent="0.25">
      <c r="B233" s="1">
        <f t="shared" si="3"/>
        <v>231</v>
      </c>
      <c r="C233" s="1" t="s">
        <v>498</v>
      </c>
      <c r="D233" s="2" t="s">
        <v>499</v>
      </c>
      <c r="E233" s="2" t="s">
        <v>40</v>
      </c>
      <c r="F233" s="2" t="s">
        <v>17</v>
      </c>
      <c r="G233" s="2" t="s">
        <v>71</v>
      </c>
      <c r="H233" s="2" t="s">
        <v>29</v>
      </c>
      <c r="I233" s="4">
        <v>45460</v>
      </c>
      <c r="J233" s="4">
        <v>45280</v>
      </c>
      <c r="K233" s="2" t="s">
        <v>77</v>
      </c>
      <c r="L233" s="2" t="s">
        <v>21</v>
      </c>
      <c r="M233" s="2" t="s">
        <v>22</v>
      </c>
      <c r="N233" s="2" t="s">
        <v>23</v>
      </c>
      <c r="O233" s="2" t="s">
        <v>24</v>
      </c>
      <c r="P233" s="2" t="s">
        <v>863</v>
      </c>
      <c r="Q233" s="9">
        <v>5000</v>
      </c>
    </row>
    <row r="234" spans="2:17" x14ac:dyDescent="0.25">
      <c r="B234" s="1">
        <f t="shared" si="3"/>
        <v>232</v>
      </c>
      <c r="C234" s="1" t="s">
        <v>500</v>
      </c>
      <c r="D234" s="2" t="s">
        <v>501</v>
      </c>
      <c r="E234" s="2" t="s">
        <v>201</v>
      </c>
      <c r="F234" s="2" t="s">
        <v>17</v>
      </c>
      <c r="G234" s="2" t="s">
        <v>71</v>
      </c>
      <c r="H234" s="2" t="s">
        <v>29</v>
      </c>
      <c r="I234" s="4">
        <v>45460</v>
      </c>
      <c r="J234" s="4">
        <v>45280</v>
      </c>
      <c r="K234" s="2" t="s">
        <v>20</v>
      </c>
      <c r="L234" s="2" t="s">
        <v>21</v>
      </c>
      <c r="M234" s="2" t="s">
        <v>22</v>
      </c>
      <c r="N234" s="2" t="s">
        <v>23</v>
      </c>
      <c r="O234" s="2" t="s">
        <v>24</v>
      </c>
      <c r="P234" s="2" t="s">
        <v>863</v>
      </c>
      <c r="Q234" s="9">
        <v>5000</v>
      </c>
    </row>
    <row r="235" spans="2:17" x14ac:dyDescent="0.25">
      <c r="B235" s="1">
        <f t="shared" si="3"/>
        <v>233</v>
      </c>
      <c r="C235" s="1" t="s">
        <v>502</v>
      </c>
      <c r="D235" s="2" t="s">
        <v>503</v>
      </c>
      <c r="E235" s="2" t="s">
        <v>40</v>
      </c>
      <c r="F235" s="2" t="s">
        <v>17</v>
      </c>
      <c r="G235" s="2" t="s">
        <v>71</v>
      </c>
      <c r="H235" s="2" t="s">
        <v>29</v>
      </c>
      <c r="I235" s="4">
        <v>45460</v>
      </c>
      <c r="J235" s="4">
        <v>45280</v>
      </c>
      <c r="K235" s="2" t="s">
        <v>20</v>
      </c>
      <c r="L235" s="2" t="s">
        <v>21</v>
      </c>
      <c r="M235" s="2" t="s">
        <v>54</v>
      </c>
      <c r="N235" s="2" t="s">
        <v>460</v>
      </c>
      <c r="O235" s="2" t="s">
        <v>47</v>
      </c>
      <c r="P235" s="2" t="s">
        <v>863</v>
      </c>
      <c r="Q235" s="9">
        <v>5000</v>
      </c>
    </row>
    <row r="236" spans="2:17" x14ac:dyDescent="0.25">
      <c r="B236" s="1">
        <f t="shared" si="3"/>
        <v>234</v>
      </c>
      <c r="C236" s="1" t="s">
        <v>504</v>
      </c>
      <c r="D236" s="2" t="s">
        <v>505</v>
      </c>
      <c r="E236" s="2" t="s">
        <v>40</v>
      </c>
      <c r="F236" s="2" t="s">
        <v>17</v>
      </c>
      <c r="G236" s="2" t="s">
        <v>71</v>
      </c>
      <c r="H236" s="2" t="s">
        <v>29</v>
      </c>
      <c r="I236" s="4">
        <v>45460</v>
      </c>
      <c r="J236" s="4">
        <v>45280</v>
      </c>
      <c r="K236" s="2" t="s">
        <v>77</v>
      </c>
      <c r="L236" s="2" t="s">
        <v>34</v>
      </c>
      <c r="M236" s="2" t="s">
        <v>30</v>
      </c>
      <c r="N236" s="2" t="s">
        <v>23</v>
      </c>
      <c r="O236" s="2" t="s">
        <v>24</v>
      </c>
      <c r="P236" s="2" t="s">
        <v>863</v>
      </c>
      <c r="Q236" s="9">
        <v>5000</v>
      </c>
    </row>
    <row r="237" spans="2:17" x14ac:dyDescent="0.25">
      <c r="B237" s="1">
        <f t="shared" si="3"/>
        <v>235</v>
      </c>
      <c r="C237" s="1" t="s">
        <v>506</v>
      </c>
      <c r="D237" s="2" t="s">
        <v>507</v>
      </c>
      <c r="E237" s="2" t="s">
        <v>40</v>
      </c>
      <c r="F237" s="2" t="s">
        <v>17</v>
      </c>
      <c r="G237" s="2" t="s">
        <v>71</v>
      </c>
      <c r="H237" s="2" t="s">
        <v>29</v>
      </c>
      <c r="I237" s="4">
        <v>45460</v>
      </c>
      <c r="J237" s="4">
        <v>45280</v>
      </c>
      <c r="K237" s="2" t="s">
        <v>77</v>
      </c>
      <c r="L237" s="2" t="s">
        <v>21</v>
      </c>
      <c r="M237" s="2" t="s">
        <v>30</v>
      </c>
      <c r="N237" s="2" t="s">
        <v>187</v>
      </c>
      <c r="O237" s="2" t="s">
        <v>37</v>
      </c>
      <c r="P237" s="2" t="s">
        <v>863</v>
      </c>
      <c r="Q237" s="9">
        <v>5000</v>
      </c>
    </row>
    <row r="238" spans="2:17" x14ac:dyDescent="0.25">
      <c r="B238" s="1">
        <f t="shared" si="3"/>
        <v>236</v>
      </c>
      <c r="C238" s="1" t="s">
        <v>508</v>
      </c>
      <c r="D238" s="2" t="s">
        <v>509</v>
      </c>
      <c r="E238" s="2" t="s">
        <v>40</v>
      </c>
      <c r="F238" s="2" t="s">
        <v>17</v>
      </c>
      <c r="G238" s="2" t="s">
        <v>71</v>
      </c>
      <c r="H238" s="2" t="s">
        <v>29</v>
      </c>
      <c r="I238" s="4">
        <v>45460</v>
      </c>
      <c r="J238" s="4">
        <v>45280</v>
      </c>
      <c r="K238" s="2" t="s">
        <v>77</v>
      </c>
      <c r="L238" s="2" t="s">
        <v>21</v>
      </c>
      <c r="M238" s="2" t="s">
        <v>30</v>
      </c>
      <c r="N238" s="2" t="s">
        <v>216</v>
      </c>
      <c r="O238" s="2" t="s">
        <v>24</v>
      </c>
      <c r="P238" s="2" t="s">
        <v>863</v>
      </c>
      <c r="Q238" s="9">
        <v>5000</v>
      </c>
    </row>
    <row r="239" spans="2:17" x14ac:dyDescent="0.25">
      <c r="B239" s="1">
        <f t="shared" si="3"/>
        <v>237</v>
      </c>
      <c r="C239" s="1" t="s">
        <v>510</v>
      </c>
      <c r="D239" s="2" t="s">
        <v>511</v>
      </c>
      <c r="E239" s="2" t="s">
        <v>40</v>
      </c>
      <c r="F239" s="2" t="s">
        <v>17</v>
      </c>
      <c r="G239" s="2" t="s">
        <v>71</v>
      </c>
      <c r="H239" s="2" t="s">
        <v>29</v>
      </c>
      <c r="I239" s="4">
        <v>45460</v>
      </c>
      <c r="J239" s="4">
        <v>45280</v>
      </c>
      <c r="K239" s="2" t="s">
        <v>77</v>
      </c>
      <c r="L239" s="2" t="s">
        <v>34</v>
      </c>
      <c r="M239" s="2" t="s">
        <v>512</v>
      </c>
      <c r="N239" s="2" t="s">
        <v>513</v>
      </c>
      <c r="O239" s="2" t="s">
        <v>43</v>
      </c>
      <c r="P239" s="2" t="s">
        <v>863</v>
      </c>
      <c r="Q239" s="9">
        <v>5000</v>
      </c>
    </row>
    <row r="240" spans="2:17" x14ac:dyDescent="0.25">
      <c r="B240" s="1">
        <f t="shared" si="3"/>
        <v>238</v>
      </c>
      <c r="C240" s="1" t="s">
        <v>514</v>
      </c>
      <c r="D240" s="2" t="s">
        <v>515</v>
      </c>
      <c r="E240" s="2" t="s">
        <v>40</v>
      </c>
      <c r="F240" s="2" t="s">
        <v>17</v>
      </c>
      <c r="G240" s="2" t="s">
        <v>71</v>
      </c>
      <c r="H240" s="2" t="s">
        <v>29</v>
      </c>
      <c r="I240" s="4">
        <v>45460</v>
      </c>
      <c r="J240" s="4">
        <v>45280</v>
      </c>
      <c r="K240" s="2" t="s">
        <v>20</v>
      </c>
      <c r="L240" s="2" t="s">
        <v>21</v>
      </c>
      <c r="M240" s="2" t="s">
        <v>54</v>
      </c>
      <c r="N240" s="2" t="s">
        <v>92</v>
      </c>
      <c r="O240" s="2" t="s">
        <v>43</v>
      </c>
      <c r="P240" s="2" t="s">
        <v>863</v>
      </c>
      <c r="Q240" s="9">
        <v>5000</v>
      </c>
    </row>
    <row r="241" spans="2:17" x14ac:dyDescent="0.25">
      <c r="B241" s="1">
        <f t="shared" si="3"/>
        <v>239</v>
      </c>
      <c r="C241" s="1" t="s">
        <v>516</v>
      </c>
      <c r="D241" s="2" t="s">
        <v>517</v>
      </c>
      <c r="E241" s="2" t="s">
        <v>33</v>
      </c>
      <c r="F241" s="2" t="s">
        <v>17</v>
      </c>
      <c r="G241" s="2" t="s">
        <v>71</v>
      </c>
      <c r="H241" s="2" t="s">
        <v>29</v>
      </c>
      <c r="I241" s="4">
        <v>45460</v>
      </c>
      <c r="J241" s="4">
        <v>45280</v>
      </c>
      <c r="K241" s="2" t="s">
        <v>77</v>
      </c>
      <c r="L241" s="2" t="s">
        <v>34</v>
      </c>
      <c r="M241" s="2" t="s">
        <v>54</v>
      </c>
      <c r="N241" s="2" t="s">
        <v>23</v>
      </c>
      <c r="O241" s="2" t="s">
        <v>24</v>
      </c>
      <c r="P241" s="2" t="s">
        <v>863</v>
      </c>
      <c r="Q241" s="9">
        <v>5000</v>
      </c>
    </row>
    <row r="242" spans="2:17" x14ac:dyDescent="0.25">
      <c r="B242" s="1">
        <f t="shared" si="3"/>
        <v>240</v>
      </c>
      <c r="C242" s="1" t="s">
        <v>518</v>
      </c>
      <c r="D242" s="2" t="s">
        <v>519</v>
      </c>
      <c r="E242" s="2" t="s">
        <v>40</v>
      </c>
      <c r="F242" s="2" t="s">
        <v>17</v>
      </c>
      <c r="G242" s="2" t="s">
        <v>71</v>
      </c>
      <c r="H242" s="2" t="s">
        <v>29</v>
      </c>
      <c r="I242" s="4">
        <v>45460</v>
      </c>
      <c r="J242" s="4">
        <v>45280</v>
      </c>
      <c r="K242" s="2" t="s">
        <v>77</v>
      </c>
      <c r="L242" s="2" t="s">
        <v>21</v>
      </c>
      <c r="M242" s="2" t="s">
        <v>54</v>
      </c>
      <c r="N242" s="2" t="s">
        <v>23</v>
      </c>
      <c r="O242" s="2" t="s">
        <v>24</v>
      </c>
      <c r="P242" s="2" t="s">
        <v>863</v>
      </c>
      <c r="Q242" s="9">
        <v>5000</v>
      </c>
    </row>
    <row r="243" spans="2:17" x14ac:dyDescent="0.25">
      <c r="B243" s="1">
        <f t="shared" si="3"/>
        <v>241</v>
      </c>
      <c r="C243" s="1" t="s">
        <v>520</v>
      </c>
      <c r="D243" s="2" t="s">
        <v>521</v>
      </c>
      <c r="E243" s="2" t="s">
        <v>16</v>
      </c>
      <c r="F243" s="2" t="s">
        <v>17</v>
      </c>
      <c r="G243" s="2" t="s">
        <v>71</v>
      </c>
      <c r="H243" s="2" t="s">
        <v>29</v>
      </c>
      <c r="I243" s="4">
        <v>45460</v>
      </c>
      <c r="J243" s="4">
        <v>45280</v>
      </c>
      <c r="K243" s="2" t="s">
        <v>77</v>
      </c>
      <c r="L243" s="2" t="s">
        <v>21</v>
      </c>
      <c r="M243" s="2" t="s">
        <v>111</v>
      </c>
      <c r="N243" s="2" t="s">
        <v>216</v>
      </c>
      <c r="O243" s="2" t="s">
        <v>24</v>
      </c>
      <c r="P243" s="2" t="s">
        <v>863</v>
      </c>
      <c r="Q243" s="9">
        <v>5000</v>
      </c>
    </row>
    <row r="244" spans="2:17" x14ac:dyDescent="0.25">
      <c r="B244" s="1">
        <f t="shared" si="3"/>
        <v>242</v>
      </c>
      <c r="C244" s="1" t="s">
        <v>522</v>
      </c>
      <c r="D244" s="2" t="s">
        <v>523</v>
      </c>
      <c r="E244" s="2" t="s">
        <v>40</v>
      </c>
      <c r="F244" s="2" t="s">
        <v>17</v>
      </c>
      <c r="G244" s="2" t="s">
        <v>71</v>
      </c>
      <c r="H244" s="2" t="s">
        <v>29</v>
      </c>
      <c r="I244" s="4">
        <v>45460</v>
      </c>
      <c r="J244" s="4">
        <v>45280</v>
      </c>
      <c r="K244" s="2" t="s">
        <v>20</v>
      </c>
      <c r="L244" s="2" t="s">
        <v>21</v>
      </c>
      <c r="M244" s="2" t="s">
        <v>22</v>
      </c>
      <c r="N244" s="2" t="s">
        <v>92</v>
      </c>
      <c r="O244" s="2" t="s">
        <v>43</v>
      </c>
      <c r="P244" s="2" t="s">
        <v>863</v>
      </c>
      <c r="Q244" s="9">
        <v>5000</v>
      </c>
    </row>
    <row r="245" spans="2:17" x14ac:dyDescent="0.25">
      <c r="B245" s="1">
        <f t="shared" si="3"/>
        <v>243</v>
      </c>
      <c r="C245" s="1" t="s">
        <v>524</v>
      </c>
      <c r="D245" s="2" t="s">
        <v>525</v>
      </c>
      <c r="E245" s="2" t="s">
        <v>40</v>
      </c>
      <c r="F245" s="2" t="s">
        <v>17</v>
      </c>
      <c r="G245" s="2" t="s">
        <v>71</v>
      </c>
      <c r="H245" s="2" t="s">
        <v>29</v>
      </c>
      <c r="I245" s="4">
        <v>45461</v>
      </c>
      <c r="J245" s="4">
        <v>45281</v>
      </c>
      <c r="K245" s="2" t="s">
        <v>20</v>
      </c>
      <c r="L245" s="2" t="s">
        <v>21</v>
      </c>
      <c r="M245" s="2" t="s">
        <v>35</v>
      </c>
      <c r="N245" s="2" t="s">
        <v>23</v>
      </c>
      <c r="O245" s="2" t="s">
        <v>24</v>
      </c>
      <c r="P245" s="2" t="s">
        <v>863</v>
      </c>
      <c r="Q245" s="9">
        <v>5000</v>
      </c>
    </row>
    <row r="246" spans="2:17" x14ac:dyDescent="0.25">
      <c r="B246" s="1">
        <f t="shared" si="3"/>
        <v>244</v>
      </c>
      <c r="C246" s="1" t="s">
        <v>526</v>
      </c>
      <c r="D246" s="2" t="s">
        <v>527</v>
      </c>
      <c r="E246" s="2" t="s">
        <v>33</v>
      </c>
      <c r="F246" s="2" t="s">
        <v>17</v>
      </c>
      <c r="G246" s="2" t="s">
        <v>71</v>
      </c>
      <c r="H246" s="2" t="s">
        <v>29</v>
      </c>
      <c r="I246" s="4">
        <v>45461</v>
      </c>
      <c r="J246" s="4">
        <v>45281</v>
      </c>
      <c r="K246" s="2" t="s">
        <v>77</v>
      </c>
      <c r="L246" s="2" t="s">
        <v>21</v>
      </c>
      <c r="M246" s="2" t="s">
        <v>54</v>
      </c>
      <c r="N246" s="2" t="s">
        <v>92</v>
      </c>
      <c r="O246" s="2" t="s">
        <v>43</v>
      </c>
      <c r="P246" s="2" t="s">
        <v>863</v>
      </c>
      <c r="Q246" s="9">
        <v>5000</v>
      </c>
    </row>
    <row r="247" spans="2:17" x14ac:dyDescent="0.25">
      <c r="B247" s="1">
        <f t="shared" si="3"/>
        <v>245</v>
      </c>
      <c r="C247" s="1" t="s">
        <v>528</v>
      </c>
      <c r="D247" s="2" t="s">
        <v>529</v>
      </c>
      <c r="E247" s="2" t="s">
        <v>40</v>
      </c>
      <c r="F247" s="2" t="s">
        <v>17</v>
      </c>
      <c r="G247" s="2" t="s">
        <v>71</v>
      </c>
      <c r="H247" s="2" t="s">
        <v>29</v>
      </c>
      <c r="I247" s="4">
        <v>45461</v>
      </c>
      <c r="J247" s="4">
        <v>45281</v>
      </c>
      <c r="K247" s="2" t="s">
        <v>77</v>
      </c>
      <c r="L247" s="2" t="s">
        <v>21</v>
      </c>
      <c r="M247" s="2" t="s">
        <v>35</v>
      </c>
      <c r="N247" s="2" t="s">
        <v>92</v>
      </c>
      <c r="O247" s="2" t="s">
        <v>43</v>
      </c>
      <c r="P247" s="2" t="s">
        <v>863</v>
      </c>
      <c r="Q247" s="9">
        <v>5000</v>
      </c>
    </row>
    <row r="248" spans="2:17" x14ac:dyDescent="0.25">
      <c r="B248" s="1">
        <f t="shared" si="3"/>
        <v>246</v>
      </c>
      <c r="C248" s="1" t="s">
        <v>530</v>
      </c>
      <c r="D248" s="2" t="s">
        <v>531</v>
      </c>
      <c r="E248" s="2" t="s">
        <v>40</v>
      </c>
      <c r="F248" s="2" t="s">
        <v>17</v>
      </c>
      <c r="G248" s="2" t="s">
        <v>71</v>
      </c>
      <c r="H248" s="2" t="s">
        <v>29</v>
      </c>
      <c r="I248" s="4">
        <v>45461</v>
      </c>
      <c r="J248" s="4">
        <v>45281</v>
      </c>
      <c r="K248" s="2" t="s">
        <v>20</v>
      </c>
      <c r="L248" s="2" t="s">
        <v>21</v>
      </c>
      <c r="M248" s="2" t="s">
        <v>22</v>
      </c>
      <c r="N248" s="2" t="s">
        <v>36</v>
      </c>
      <c r="O248" s="2" t="s">
        <v>37</v>
      </c>
      <c r="P248" s="2" t="s">
        <v>863</v>
      </c>
      <c r="Q248" s="9">
        <v>5000</v>
      </c>
    </row>
    <row r="249" spans="2:17" x14ac:dyDescent="0.25">
      <c r="B249" s="1">
        <f t="shared" si="3"/>
        <v>247</v>
      </c>
      <c r="C249" s="1" t="s">
        <v>532</v>
      </c>
      <c r="D249" s="2" t="s">
        <v>533</v>
      </c>
      <c r="E249" s="2" t="s">
        <v>16</v>
      </c>
      <c r="F249" s="2" t="s">
        <v>17</v>
      </c>
      <c r="G249" s="2" t="s">
        <v>71</v>
      </c>
      <c r="H249" s="2" t="s">
        <v>29</v>
      </c>
      <c r="I249" s="4">
        <v>45461</v>
      </c>
      <c r="J249" s="4">
        <v>45281</v>
      </c>
      <c r="K249" s="2" t="s">
        <v>77</v>
      </c>
      <c r="L249" s="2" t="s">
        <v>21</v>
      </c>
      <c r="M249" s="2" t="s">
        <v>30</v>
      </c>
      <c r="N249" s="2" t="s">
        <v>216</v>
      </c>
      <c r="O249" s="2" t="s">
        <v>24</v>
      </c>
      <c r="P249" s="2" t="s">
        <v>863</v>
      </c>
      <c r="Q249" s="9">
        <v>5000</v>
      </c>
    </row>
    <row r="250" spans="2:17" x14ac:dyDescent="0.25">
      <c r="B250" s="1">
        <f t="shared" si="3"/>
        <v>248</v>
      </c>
      <c r="C250" s="1" t="s">
        <v>534</v>
      </c>
      <c r="D250" s="2" t="s">
        <v>535</v>
      </c>
      <c r="E250" s="2" t="s">
        <v>33</v>
      </c>
      <c r="F250" s="2" t="s">
        <v>17</v>
      </c>
      <c r="G250" s="2" t="s">
        <v>71</v>
      </c>
      <c r="H250" s="2" t="s">
        <v>29</v>
      </c>
      <c r="I250" s="4">
        <v>45461</v>
      </c>
      <c r="J250" s="4">
        <v>45281</v>
      </c>
      <c r="K250" s="2" t="s">
        <v>77</v>
      </c>
      <c r="L250" s="2" t="s">
        <v>21</v>
      </c>
      <c r="M250" s="2" t="s">
        <v>22</v>
      </c>
      <c r="N250" s="2" t="s">
        <v>120</v>
      </c>
      <c r="O250" s="2" t="s">
        <v>43</v>
      </c>
      <c r="P250" s="2" t="s">
        <v>863</v>
      </c>
      <c r="Q250" s="9">
        <v>5000</v>
      </c>
    </row>
    <row r="251" spans="2:17" x14ac:dyDescent="0.25">
      <c r="B251" s="1">
        <f t="shared" si="3"/>
        <v>249</v>
      </c>
      <c r="C251" s="1" t="s">
        <v>536</v>
      </c>
      <c r="D251" s="2" t="s">
        <v>537</v>
      </c>
      <c r="E251" s="2" t="s">
        <v>40</v>
      </c>
      <c r="F251" s="2" t="s">
        <v>17</v>
      </c>
      <c r="G251" s="2" t="s">
        <v>71</v>
      </c>
      <c r="H251" s="2" t="s">
        <v>29</v>
      </c>
      <c r="I251" s="4">
        <v>45461</v>
      </c>
      <c r="J251" s="4">
        <v>45281</v>
      </c>
      <c r="K251" s="2" t="s">
        <v>20</v>
      </c>
      <c r="L251" s="2" t="s">
        <v>21</v>
      </c>
      <c r="M251" s="2" t="s">
        <v>111</v>
      </c>
      <c r="N251" s="2" t="s">
        <v>92</v>
      </c>
      <c r="O251" s="2" t="s">
        <v>43</v>
      </c>
      <c r="P251" s="2" t="s">
        <v>863</v>
      </c>
      <c r="Q251" s="9">
        <v>5000</v>
      </c>
    </row>
    <row r="252" spans="2:17" x14ac:dyDescent="0.25">
      <c r="B252" s="1">
        <f t="shared" si="3"/>
        <v>250</v>
      </c>
      <c r="C252" s="1" t="s">
        <v>538</v>
      </c>
      <c r="D252" s="2" t="s">
        <v>539</v>
      </c>
      <c r="E252" s="2" t="s">
        <v>40</v>
      </c>
      <c r="F252" s="2" t="s">
        <v>17</v>
      </c>
      <c r="G252" s="2" t="s">
        <v>71</v>
      </c>
      <c r="H252" s="2" t="s">
        <v>29</v>
      </c>
      <c r="I252" s="4">
        <v>45461</v>
      </c>
      <c r="J252" s="4">
        <v>45281</v>
      </c>
      <c r="K252" s="2" t="s">
        <v>20</v>
      </c>
      <c r="L252" s="2" t="s">
        <v>21</v>
      </c>
      <c r="M252" s="2" t="s">
        <v>22</v>
      </c>
      <c r="N252" s="2" t="s">
        <v>92</v>
      </c>
      <c r="O252" s="2" t="s">
        <v>43</v>
      </c>
      <c r="P252" s="2" t="s">
        <v>863</v>
      </c>
      <c r="Q252" s="9">
        <v>5000</v>
      </c>
    </row>
    <row r="253" spans="2:17" x14ac:dyDescent="0.25">
      <c r="B253" s="1">
        <f t="shared" si="3"/>
        <v>251</v>
      </c>
      <c r="C253" s="1" t="s">
        <v>540</v>
      </c>
      <c r="D253" s="2" t="s">
        <v>541</v>
      </c>
      <c r="E253" s="2" t="s">
        <v>40</v>
      </c>
      <c r="F253" s="2" t="s">
        <v>17</v>
      </c>
      <c r="G253" s="2" t="s">
        <v>71</v>
      </c>
      <c r="H253" s="2" t="s">
        <v>29</v>
      </c>
      <c r="I253" s="4">
        <v>45463</v>
      </c>
      <c r="J253" s="4">
        <v>45283</v>
      </c>
      <c r="K253" s="2" t="s">
        <v>77</v>
      </c>
      <c r="L253" s="2" t="s">
        <v>21</v>
      </c>
      <c r="M253" s="2" t="s">
        <v>30</v>
      </c>
      <c r="N253" s="2" t="s">
        <v>120</v>
      </c>
      <c r="O253" s="2" t="s">
        <v>43</v>
      </c>
      <c r="P253" s="2" t="s">
        <v>863</v>
      </c>
      <c r="Q253" s="9">
        <v>5000</v>
      </c>
    </row>
    <row r="254" spans="2:17" x14ac:dyDescent="0.25">
      <c r="B254" s="1">
        <f t="shared" si="3"/>
        <v>252</v>
      </c>
      <c r="C254" s="1" t="s">
        <v>542</v>
      </c>
      <c r="D254" s="2" t="s">
        <v>543</v>
      </c>
      <c r="E254" s="2" t="s">
        <v>40</v>
      </c>
      <c r="F254" s="2" t="s">
        <v>17</v>
      </c>
      <c r="G254" s="2" t="s">
        <v>71</v>
      </c>
      <c r="H254" s="2" t="s">
        <v>29</v>
      </c>
      <c r="I254" s="4">
        <v>45463</v>
      </c>
      <c r="J254" s="4">
        <v>45283</v>
      </c>
      <c r="K254" s="2" t="s">
        <v>77</v>
      </c>
      <c r="L254" s="2" t="s">
        <v>34</v>
      </c>
      <c r="M254" s="2" t="s">
        <v>54</v>
      </c>
      <c r="N254" s="2" t="s">
        <v>23</v>
      </c>
      <c r="O254" s="2" t="s">
        <v>24</v>
      </c>
      <c r="P254" s="2" t="s">
        <v>863</v>
      </c>
      <c r="Q254" s="9">
        <v>5000</v>
      </c>
    </row>
    <row r="255" spans="2:17" x14ac:dyDescent="0.25">
      <c r="B255" s="1">
        <f t="shared" si="3"/>
        <v>253</v>
      </c>
      <c r="C255" s="1" t="s">
        <v>544</v>
      </c>
      <c r="D255" s="2" t="s">
        <v>545</v>
      </c>
      <c r="E255" s="2" t="s">
        <v>33</v>
      </c>
      <c r="F255" s="2" t="s">
        <v>17</v>
      </c>
      <c r="G255" s="2" t="s">
        <v>71</v>
      </c>
      <c r="H255" s="2" t="s">
        <v>29</v>
      </c>
      <c r="I255" s="4">
        <v>45463</v>
      </c>
      <c r="J255" s="4">
        <v>45283</v>
      </c>
      <c r="K255" s="2" t="s">
        <v>20</v>
      </c>
      <c r="L255" s="2" t="s">
        <v>21</v>
      </c>
      <c r="M255" s="2" t="s">
        <v>30</v>
      </c>
      <c r="N255" s="2" t="s">
        <v>23</v>
      </c>
      <c r="O255" s="2" t="s">
        <v>24</v>
      </c>
      <c r="P255" s="2" t="s">
        <v>863</v>
      </c>
      <c r="Q255" s="9">
        <v>5000</v>
      </c>
    </row>
    <row r="256" spans="2:17" x14ac:dyDescent="0.25">
      <c r="B256" s="1">
        <f t="shared" si="3"/>
        <v>254</v>
      </c>
      <c r="C256" s="1" t="s">
        <v>546</v>
      </c>
      <c r="D256" s="2" t="s">
        <v>547</v>
      </c>
      <c r="E256" s="2" t="s">
        <v>40</v>
      </c>
      <c r="F256" s="2" t="s">
        <v>17</v>
      </c>
      <c r="G256" s="2" t="s">
        <v>71</v>
      </c>
      <c r="H256" s="2" t="s">
        <v>29</v>
      </c>
      <c r="I256" s="4">
        <v>45463</v>
      </c>
      <c r="J256" s="4">
        <v>45283</v>
      </c>
      <c r="K256" s="2" t="s">
        <v>20</v>
      </c>
      <c r="L256" s="2" t="s">
        <v>34</v>
      </c>
      <c r="M256" s="2" t="s">
        <v>30</v>
      </c>
      <c r="N256" s="2" t="s">
        <v>23</v>
      </c>
      <c r="O256" s="2" t="s">
        <v>24</v>
      </c>
      <c r="P256" s="2" t="s">
        <v>863</v>
      </c>
      <c r="Q256" s="9">
        <v>5000</v>
      </c>
    </row>
    <row r="257" spans="2:17" x14ac:dyDescent="0.25">
      <c r="B257" s="1">
        <f t="shared" si="3"/>
        <v>255</v>
      </c>
      <c r="C257" s="1" t="s">
        <v>548</v>
      </c>
      <c r="D257" s="2" t="s">
        <v>549</v>
      </c>
      <c r="E257" s="2" t="s">
        <v>16</v>
      </c>
      <c r="F257" s="2" t="s">
        <v>17</v>
      </c>
      <c r="G257" s="2" t="s">
        <v>71</v>
      </c>
      <c r="H257" s="2" t="s">
        <v>29</v>
      </c>
      <c r="I257" s="4">
        <v>45463</v>
      </c>
      <c r="J257" s="4">
        <v>45283</v>
      </c>
      <c r="K257" s="2" t="s">
        <v>20</v>
      </c>
      <c r="L257" s="2" t="s">
        <v>21</v>
      </c>
      <c r="M257" s="2" t="s">
        <v>35</v>
      </c>
      <c r="N257" s="2" t="s">
        <v>460</v>
      </c>
      <c r="O257" s="2" t="s">
        <v>47</v>
      </c>
      <c r="P257" s="2" t="s">
        <v>863</v>
      </c>
      <c r="Q257" s="9">
        <v>5000</v>
      </c>
    </row>
    <row r="258" spans="2:17" x14ac:dyDescent="0.25">
      <c r="B258" s="1">
        <f t="shared" si="3"/>
        <v>256</v>
      </c>
      <c r="C258" s="1" t="s">
        <v>550</v>
      </c>
      <c r="D258" s="2" t="s">
        <v>551</v>
      </c>
      <c r="E258" s="2" t="s">
        <v>40</v>
      </c>
      <c r="F258" s="2" t="s">
        <v>198</v>
      </c>
      <c r="G258" s="2" t="s">
        <v>71</v>
      </c>
      <c r="H258" s="2" t="s">
        <v>29</v>
      </c>
      <c r="I258" s="4">
        <v>45463</v>
      </c>
      <c r="J258" s="4">
        <v>45283</v>
      </c>
      <c r="K258" s="2" t="s">
        <v>20</v>
      </c>
      <c r="L258" s="2" t="s">
        <v>34</v>
      </c>
      <c r="M258" s="2" t="s">
        <v>35</v>
      </c>
      <c r="N258" s="2" t="s">
        <v>23</v>
      </c>
      <c r="O258" s="2" t="s">
        <v>24</v>
      </c>
      <c r="P258" s="2" t="s">
        <v>863</v>
      </c>
      <c r="Q258" s="9">
        <v>5000</v>
      </c>
    </row>
    <row r="259" spans="2:17" x14ac:dyDescent="0.25">
      <c r="B259" s="1">
        <f t="shared" ref="B259:B322" si="4">ROW(B257)</f>
        <v>257</v>
      </c>
      <c r="C259" s="1" t="s">
        <v>552</v>
      </c>
      <c r="D259" s="2" t="s">
        <v>553</v>
      </c>
      <c r="E259" s="2" t="s">
        <v>201</v>
      </c>
      <c r="F259" s="2" t="s">
        <v>198</v>
      </c>
      <c r="G259" s="2" t="s">
        <v>71</v>
      </c>
      <c r="H259" s="2" t="s">
        <v>29</v>
      </c>
      <c r="I259" s="4">
        <v>45463</v>
      </c>
      <c r="J259" s="4">
        <v>45283</v>
      </c>
      <c r="K259" s="2" t="s">
        <v>20</v>
      </c>
      <c r="L259" s="2" t="s">
        <v>21</v>
      </c>
      <c r="M259" s="2" t="s">
        <v>35</v>
      </c>
      <c r="N259" s="2" t="s">
        <v>23</v>
      </c>
      <c r="O259" s="2" t="s">
        <v>24</v>
      </c>
      <c r="P259" s="2" t="s">
        <v>863</v>
      </c>
      <c r="Q259" s="9">
        <v>5000</v>
      </c>
    </row>
    <row r="260" spans="2:17" x14ac:dyDescent="0.25">
      <c r="B260" s="1">
        <f t="shared" si="4"/>
        <v>258</v>
      </c>
      <c r="C260" s="1" t="s">
        <v>554</v>
      </c>
      <c r="D260" s="2" t="s">
        <v>555</v>
      </c>
      <c r="E260" s="2" t="s">
        <v>40</v>
      </c>
      <c r="F260" s="2" t="s">
        <v>17</v>
      </c>
      <c r="G260" s="2" t="s">
        <v>71</v>
      </c>
      <c r="H260" s="2" t="s">
        <v>29</v>
      </c>
      <c r="I260" s="4">
        <v>45463</v>
      </c>
      <c r="J260" s="4">
        <v>45283</v>
      </c>
      <c r="K260" s="2" t="s">
        <v>20</v>
      </c>
      <c r="L260" s="2" t="s">
        <v>21</v>
      </c>
      <c r="M260" s="2" t="s">
        <v>35</v>
      </c>
      <c r="N260" s="2" t="s">
        <v>216</v>
      </c>
      <c r="O260" s="2" t="s">
        <v>24</v>
      </c>
      <c r="P260" s="2" t="s">
        <v>863</v>
      </c>
      <c r="Q260" s="9">
        <v>5000</v>
      </c>
    </row>
    <row r="261" spans="2:17" x14ac:dyDescent="0.25">
      <c r="B261" s="1">
        <f t="shared" si="4"/>
        <v>259</v>
      </c>
      <c r="C261" s="1" t="s">
        <v>556</v>
      </c>
      <c r="D261" s="2" t="s">
        <v>557</v>
      </c>
      <c r="E261" s="2" t="s">
        <v>40</v>
      </c>
      <c r="F261" s="2" t="s">
        <v>17</v>
      </c>
      <c r="G261" s="2" t="s">
        <v>71</v>
      </c>
      <c r="H261" s="2" t="s">
        <v>29</v>
      </c>
      <c r="I261" s="4">
        <v>45463</v>
      </c>
      <c r="J261" s="4">
        <v>45283</v>
      </c>
      <c r="K261" s="2" t="s">
        <v>20</v>
      </c>
      <c r="L261" s="2" t="s">
        <v>21</v>
      </c>
      <c r="M261" s="2" t="s">
        <v>22</v>
      </c>
      <c r="N261" s="2" t="s">
        <v>23</v>
      </c>
      <c r="O261" s="2" t="s">
        <v>24</v>
      </c>
      <c r="P261" s="2" t="s">
        <v>863</v>
      </c>
      <c r="Q261" s="9">
        <v>5000</v>
      </c>
    </row>
    <row r="262" spans="2:17" x14ac:dyDescent="0.25">
      <c r="B262" s="1">
        <f t="shared" si="4"/>
        <v>260</v>
      </c>
      <c r="C262" s="1" t="s">
        <v>558</v>
      </c>
      <c r="D262" s="2" t="s">
        <v>559</v>
      </c>
      <c r="E262" s="2" t="s">
        <v>33</v>
      </c>
      <c r="F262" s="2" t="s">
        <v>17</v>
      </c>
      <c r="G262" s="2" t="s">
        <v>71</v>
      </c>
      <c r="H262" s="2" t="s">
        <v>29</v>
      </c>
      <c r="I262" s="4">
        <v>45463</v>
      </c>
      <c r="J262" s="4">
        <v>45283</v>
      </c>
      <c r="K262" s="2" t="s">
        <v>20</v>
      </c>
      <c r="L262" s="2" t="s">
        <v>21</v>
      </c>
      <c r="M262" s="2" t="s">
        <v>22</v>
      </c>
      <c r="N262" s="2" t="s">
        <v>65</v>
      </c>
      <c r="O262" s="2" t="s">
        <v>37</v>
      </c>
      <c r="P262" s="2" t="s">
        <v>863</v>
      </c>
      <c r="Q262" s="9">
        <v>5000</v>
      </c>
    </row>
    <row r="263" spans="2:17" x14ac:dyDescent="0.25">
      <c r="B263" s="1">
        <f t="shared" si="4"/>
        <v>261</v>
      </c>
      <c r="C263" s="1" t="s">
        <v>560</v>
      </c>
      <c r="D263" s="2" t="s">
        <v>561</v>
      </c>
      <c r="E263" s="2" t="s">
        <v>33</v>
      </c>
      <c r="F263" s="2" t="s">
        <v>17</v>
      </c>
      <c r="G263" s="2" t="s">
        <v>71</v>
      </c>
      <c r="H263" s="2" t="s">
        <v>29</v>
      </c>
      <c r="I263" s="4">
        <v>45463</v>
      </c>
      <c r="J263" s="4">
        <v>45283</v>
      </c>
      <c r="K263" s="2" t="s">
        <v>20</v>
      </c>
      <c r="L263" s="2" t="s">
        <v>21</v>
      </c>
      <c r="M263" s="2" t="s">
        <v>54</v>
      </c>
      <c r="N263" s="2" t="s">
        <v>23</v>
      </c>
      <c r="O263" s="2" t="s">
        <v>24</v>
      </c>
      <c r="P263" s="2" t="s">
        <v>863</v>
      </c>
      <c r="Q263" s="9">
        <v>5000</v>
      </c>
    </row>
    <row r="264" spans="2:17" x14ac:dyDescent="0.25">
      <c r="B264" s="1">
        <f t="shared" si="4"/>
        <v>262</v>
      </c>
      <c r="C264" s="1" t="s">
        <v>562</v>
      </c>
      <c r="D264" s="2" t="s">
        <v>563</v>
      </c>
      <c r="E264" s="2" t="s">
        <v>40</v>
      </c>
      <c r="F264" s="2" t="s">
        <v>17</v>
      </c>
      <c r="G264" s="2" t="s">
        <v>71</v>
      </c>
      <c r="H264" s="2" t="s">
        <v>29</v>
      </c>
      <c r="I264" s="4">
        <v>45464</v>
      </c>
      <c r="J264" s="4">
        <v>45284</v>
      </c>
      <c r="K264" s="2" t="s">
        <v>77</v>
      </c>
      <c r="L264" s="2" t="s">
        <v>34</v>
      </c>
      <c r="M264" s="2" t="s">
        <v>22</v>
      </c>
      <c r="N264" s="2" t="s">
        <v>92</v>
      </c>
      <c r="O264" s="2" t="s">
        <v>43</v>
      </c>
      <c r="P264" s="2" t="s">
        <v>863</v>
      </c>
      <c r="Q264" s="9">
        <v>27000</v>
      </c>
    </row>
    <row r="265" spans="2:17" x14ac:dyDescent="0.25">
      <c r="B265" s="1">
        <f t="shared" si="4"/>
        <v>263</v>
      </c>
      <c r="C265" s="1" t="s">
        <v>564</v>
      </c>
      <c r="D265" s="2" t="s">
        <v>565</v>
      </c>
      <c r="E265" s="2" t="s">
        <v>33</v>
      </c>
      <c r="F265" s="2" t="s">
        <v>17</v>
      </c>
      <c r="G265" s="2" t="s">
        <v>71</v>
      </c>
      <c r="H265" s="2" t="s">
        <v>29</v>
      </c>
      <c r="I265" s="4">
        <v>45464</v>
      </c>
      <c r="J265" s="4">
        <v>45284</v>
      </c>
      <c r="K265" s="2" t="s">
        <v>20</v>
      </c>
      <c r="L265" s="2" t="s">
        <v>21</v>
      </c>
      <c r="M265" s="2" t="s">
        <v>35</v>
      </c>
      <c r="N265" s="2" t="s">
        <v>221</v>
      </c>
      <c r="O265" s="2" t="s">
        <v>43</v>
      </c>
      <c r="P265" s="2" t="s">
        <v>863</v>
      </c>
      <c r="Q265" s="9">
        <v>27000</v>
      </c>
    </row>
    <row r="266" spans="2:17" x14ac:dyDescent="0.25">
      <c r="B266" s="1">
        <f t="shared" si="4"/>
        <v>264</v>
      </c>
      <c r="C266" s="1" t="s">
        <v>566</v>
      </c>
      <c r="D266" s="2" t="s">
        <v>567</v>
      </c>
      <c r="E266" s="2" t="s">
        <v>201</v>
      </c>
      <c r="F266" s="2" t="s">
        <v>17</v>
      </c>
      <c r="G266" s="2" t="s">
        <v>71</v>
      </c>
      <c r="H266" s="2" t="s">
        <v>29</v>
      </c>
      <c r="I266" s="4">
        <v>45464</v>
      </c>
      <c r="J266" s="4">
        <v>45284</v>
      </c>
      <c r="K266" s="2" t="s">
        <v>20</v>
      </c>
      <c r="L266" s="2" t="s">
        <v>21</v>
      </c>
      <c r="M266" s="2" t="s">
        <v>22</v>
      </c>
      <c r="N266" s="2" t="s">
        <v>23</v>
      </c>
      <c r="O266" s="2" t="s">
        <v>24</v>
      </c>
      <c r="P266" s="2" t="s">
        <v>863</v>
      </c>
      <c r="Q266" s="9">
        <v>27000</v>
      </c>
    </row>
    <row r="267" spans="2:17" x14ac:dyDescent="0.25">
      <c r="B267" s="1">
        <f t="shared" si="4"/>
        <v>265</v>
      </c>
      <c r="C267" s="1" t="s">
        <v>568</v>
      </c>
      <c r="D267" s="2" t="s">
        <v>569</v>
      </c>
      <c r="E267" s="2" t="s">
        <v>40</v>
      </c>
      <c r="F267" s="2" t="s">
        <v>17</v>
      </c>
      <c r="G267" s="2" t="s">
        <v>71</v>
      </c>
      <c r="H267" s="2" t="s">
        <v>29</v>
      </c>
      <c r="I267" s="4">
        <v>45464</v>
      </c>
      <c r="J267" s="4">
        <v>45284</v>
      </c>
      <c r="K267" s="2" t="s">
        <v>20</v>
      </c>
      <c r="L267" s="2" t="s">
        <v>21</v>
      </c>
      <c r="M267" s="2" t="s">
        <v>30</v>
      </c>
      <c r="N267" s="2" t="s">
        <v>92</v>
      </c>
      <c r="O267" s="2" t="s">
        <v>43</v>
      </c>
      <c r="P267" s="2" t="s">
        <v>863</v>
      </c>
      <c r="Q267" s="9">
        <v>27000</v>
      </c>
    </row>
    <row r="268" spans="2:17" x14ac:dyDescent="0.25">
      <c r="B268" s="1">
        <f t="shared" si="4"/>
        <v>266</v>
      </c>
      <c r="C268" s="1" t="s">
        <v>570</v>
      </c>
      <c r="D268" s="2" t="s">
        <v>571</v>
      </c>
      <c r="E268" s="2" t="s">
        <v>40</v>
      </c>
      <c r="F268" s="2" t="s">
        <v>17</v>
      </c>
      <c r="G268" s="2" t="s">
        <v>71</v>
      </c>
      <c r="H268" s="2" t="s">
        <v>29</v>
      </c>
      <c r="I268" s="4">
        <v>45464</v>
      </c>
      <c r="J268" s="4">
        <v>45284</v>
      </c>
      <c r="K268" s="2" t="s">
        <v>20</v>
      </c>
      <c r="L268" s="2" t="s">
        <v>34</v>
      </c>
      <c r="M268" s="2" t="s">
        <v>35</v>
      </c>
      <c r="N268" s="2" t="s">
        <v>120</v>
      </c>
      <c r="O268" s="2" t="s">
        <v>43</v>
      </c>
      <c r="P268" s="2" t="s">
        <v>863</v>
      </c>
      <c r="Q268" s="9">
        <v>27000</v>
      </c>
    </row>
    <row r="269" spans="2:17" x14ac:dyDescent="0.25">
      <c r="B269" s="1">
        <f t="shared" si="4"/>
        <v>267</v>
      </c>
      <c r="C269" s="1" t="s">
        <v>572</v>
      </c>
      <c r="D269" s="2" t="s">
        <v>573</v>
      </c>
      <c r="E269" s="2" t="s">
        <v>574</v>
      </c>
      <c r="F269" s="2" t="s">
        <v>17</v>
      </c>
      <c r="G269" s="2" t="s">
        <v>71</v>
      </c>
      <c r="H269" s="2" t="s">
        <v>29</v>
      </c>
      <c r="I269" s="4">
        <v>45466</v>
      </c>
      <c r="J269" s="4">
        <v>45286</v>
      </c>
      <c r="K269" s="2" t="s">
        <v>20</v>
      </c>
      <c r="L269" s="2" t="s">
        <v>21</v>
      </c>
      <c r="M269" s="2" t="s">
        <v>22</v>
      </c>
      <c r="N269" s="2" t="s">
        <v>575</v>
      </c>
      <c r="O269" s="2" t="s">
        <v>43</v>
      </c>
      <c r="P269" s="2" t="s">
        <v>863</v>
      </c>
      <c r="Q269" s="9">
        <v>27000</v>
      </c>
    </row>
    <row r="270" spans="2:17" x14ac:dyDescent="0.25">
      <c r="B270" s="1">
        <f t="shared" si="4"/>
        <v>268</v>
      </c>
      <c r="C270" s="1" t="s">
        <v>576</v>
      </c>
      <c r="D270" s="2" t="s">
        <v>577</v>
      </c>
      <c r="E270" s="2" t="s">
        <v>16</v>
      </c>
      <c r="F270" s="2" t="s">
        <v>17</v>
      </c>
      <c r="G270" s="2" t="s">
        <v>71</v>
      </c>
      <c r="H270" s="2" t="s">
        <v>29</v>
      </c>
      <c r="I270" s="4">
        <v>45466</v>
      </c>
      <c r="J270" s="4">
        <v>45286</v>
      </c>
      <c r="K270" s="2" t="s">
        <v>20</v>
      </c>
      <c r="L270" s="2" t="s">
        <v>21</v>
      </c>
      <c r="M270" s="2" t="s">
        <v>35</v>
      </c>
      <c r="N270" s="2" t="s">
        <v>23</v>
      </c>
      <c r="O270" s="2" t="s">
        <v>24</v>
      </c>
      <c r="P270" s="2" t="s">
        <v>863</v>
      </c>
      <c r="Q270" s="9">
        <v>27000</v>
      </c>
    </row>
    <row r="271" spans="2:17" x14ac:dyDescent="0.25">
      <c r="B271" s="1">
        <f t="shared" si="4"/>
        <v>269</v>
      </c>
      <c r="C271" s="1" t="s">
        <v>578</v>
      </c>
      <c r="D271" s="2" t="s">
        <v>579</v>
      </c>
      <c r="E271" s="2" t="s">
        <v>16</v>
      </c>
      <c r="F271" s="2" t="s">
        <v>17</v>
      </c>
      <c r="G271" s="2" t="s">
        <v>71</v>
      </c>
      <c r="H271" s="2" t="s">
        <v>29</v>
      </c>
      <c r="I271" s="4">
        <v>45466</v>
      </c>
      <c r="J271" s="4">
        <v>45286</v>
      </c>
      <c r="K271" s="2" t="s">
        <v>20</v>
      </c>
      <c r="L271" s="2" t="s">
        <v>21</v>
      </c>
      <c r="M271" s="2" t="s">
        <v>30</v>
      </c>
      <c r="N271" s="2" t="s">
        <v>23</v>
      </c>
      <c r="O271" s="2" t="s">
        <v>24</v>
      </c>
      <c r="P271" s="2" t="s">
        <v>863</v>
      </c>
      <c r="Q271" s="9">
        <v>27000</v>
      </c>
    </row>
    <row r="272" spans="2:17" x14ac:dyDescent="0.25">
      <c r="B272" s="1">
        <f t="shared" si="4"/>
        <v>270</v>
      </c>
      <c r="C272" s="1" t="s">
        <v>580</v>
      </c>
      <c r="D272" s="2" t="s">
        <v>581</v>
      </c>
      <c r="E272" s="2" t="s">
        <v>33</v>
      </c>
      <c r="F272" s="2" t="s">
        <v>195</v>
      </c>
      <c r="G272" s="2" t="s">
        <v>71</v>
      </c>
      <c r="H272" s="2" t="s">
        <v>29</v>
      </c>
      <c r="I272" s="4">
        <v>45466</v>
      </c>
      <c r="J272" s="4">
        <v>45286</v>
      </c>
      <c r="K272" s="2" t="s">
        <v>20</v>
      </c>
      <c r="L272" s="2" t="s">
        <v>21</v>
      </c>
      <c r="M272" s="2" t="s">
        <v>30</v>
      </c>
      <c r="N272" s="2" t="s">
        <v>23</v>
      </c>
      <c r="O272" s="2" t="s">
        <v>24</v>
      </c>
      <c r="P272" s="2" t="s">
        <v>863</v>
      </c>
      <c r="Q272" s="9">
        <v>27000</v>
      </c>
    </row>
    <row r="273" spans="2:17" x14ac:dyDescent="0.25">
      <c r="B273" s="1">
        <f t="shared" si="4"/>
        <v>271</v>
      </c>
      <c r="C273" s="1" t="s">
        <v>582</v>
      </c>
      <c r="D273" s="2" t="s">
        <v>583</v>
      </c>
      <c r="E273" s="2" t="s">
        <v>40</v>
      </c>
      <c r="F273" s="2" t="s">
        <v>17</v>
      </c>
      <c r="G273" s="2" t="s">
        <v>71</v>
      </c>
      <c r="H273" s="2" t="s">
        <v>29</v>
      </c>
      <c r="I273" s="4">
        <v>45466</v>
      </c>
      <c r="J273" s="4">
        <v>45286</v>
      </c>
      <c r="K273" s="2" t="s">
        <v>20</v>
      </c>
      <c r="L273" s="2" t="s">
        <v>21</v>
      </c>
      <c r="M273" s="2" t="s">
        <v>22</v>
      </c>
      <c r="N273" s="2" t="s">
        <v>23</v>
      </c>
      <c r="O273" s="2" t="s">
        <v>24</v>
      </c>
      <c r="P273" s="2" t="s">
        <v>863</v>
      </c>
      <c r="Q273" s="9">
        <v>27000</v>
      </c>
    </row>
    <row r="274" spans="2:17" x14ac:dyDescent="0.25">
      <c r="B274" s="1">
        <f t="shared" si="4"/>
        <v>272</v>
      </c>
      <c r="C274" s="1" t="s">
        <v>584</v>
      </c>
      <c r="D274" s="2" t="s">
        <v>189</v>
      </c>
      <c r="E274" s="2" t="s">
        <v>33</v>
      </c>
      <c r="F274" s="2" t="s">
        <v>198</v>
      </c>
      <c r="G274" s="2" t="s">
        <v>71</v>
      </c>
      <c r="H274" s="2" t="s">
        <v>29</v>
      </c>
      <c r="I274" s="4">
        <v>45466</v>
      </c>
      <c r="J274" s="4">
        <v>45286</v>
      </c>
      <c r="K274" s="2" t="s">
        <v>20</v>
      </c>
      <c r="L274" s="2" t="s">
        <v>21</v>
      </c>
      <c r="M274" s="2" t="s">
        <v>35</v>
      </c>
      <c r="N274" s="2" t="s">
        <v>23</v>
      </c>
      <c r="O274" s="2" t="s">
        <v>24</v>
      </c>
      <c r="P274" s="2" t="s">
        <v>863</v>
      </c>
      <c r="Q274" s="9">
        <v>27000</v>
      </c>
    </row>
    <row r="275" spans="2:17" x14ac:dyDescent="0.25">
      <c r="B275" s="1">
        <f t="shared" si="4"/>
        <v>273</v>
      </c>
      <c r="C275" s="1" t="s">
        <v>585</v>
      </c>
      <c r="D275" s="2" t="s">
        <v>586</v>
      </c>
      <c r="E275" s="2" t="s">
        <v>33</v>
      </c>
      <c r="F275" s="2" t="s">
        <v>17</v>
      </c>
      <c r="G275" s="2" t="s">
        <v>71</v>
      </c>
      <c r="H275" s="2" t="s">
        <v>29</v>
      </c>
      <c r="I275" s="4">
        <v>45466</v>
      </c>
      <c r="J275" s="4">
        <v>45286</v>
      </c>
      <c r="K275" s="2" t="s">
        <v>77</v>
      </c>
      <c r="L275" s="2" t="s">
        <v>21</v>
      </c>
      <c r="M275" s="2" t="s">
        <v>22</v>
      </c>
      <c r="N275" s="2" t="s">
        <v>23</v>
      </c>
      <c r="O275" s="2" t="s">
        <v>24</v>
      </c>
      <c r="P275" s="2" t="s">
        <v>863</v>
      </c>
      <c r="Q275" s="9">
        <v>27000</v>
      </c>
    </row>
    <row r="276" spans="2:17" x14ac:dyDescent="0.25">
      <c r="B276" s="1">
        <f t="shared" si="4"/>
        <v>274</v>
      </c>
      <c r="C276" s="1" t="s">
        <v>587</v>
      </c>
      <c r="D276" s="2" t="s">
        <v>588</v>
      </c>
      <c r="E276" s="2" t="s">
        <v>16</v>
      </c>
      <c r="F276" s="2" t="s">
        <v>17</v>
      </c>
      <c r="G276" s="2" t="s">
        <v>71</v>
      </c>
      <c r="H276" s="2" t="s">
        <v>29</v>
      </c>
      <c r="I276" s="4">
        <v>45466</v>
      </c>
      <c r="J276" s="4">
        <v>45286</v>
      </c>
      <c r="K276" s="2" t="s">
        <v>77</v>
      </c>
      <c r="L276" s="2" t="s">
        <v>21</v>
      </c>
      <c r="M276" s="2" t="s">
        <v>22</v>
      </c>
      <c r="N276" s="2" t="s">
        <v>23</v>
      </c>
      <c r="O276" s="2" t="s">
        <v>24</v>
      </c>
      <c r="P276" s="2" t="s">
        <v>863</v>
      </c>
      <c r="Q276" s="9">
        <v>27000</v>
      </c>
    </row>
    <row r="277" spans="2:17" x14ac:dyDescent="0.25">
      <c r="B277" s="1">
        <f t="shared" si="4"/>
        <v>275</v>
      </c>
      <c r="C277" s="1" t="s">
        <v>589</v>
      </c>
      <c r="D277" s="2" t="s">
        <v>590</v>
      </c>
      <c r="E277" s="2" t="s">
        <v>40</v>
      </c>
      <c r="F277" s="2" t="s">
        <v>17</v>
      </c>
      <c r="G277" s="2" t="s">
        <v>71</v>
      </c>
      <c r="H277" s="2" t="s">
        <v>29</v>
      </c>
      <c r="I277" s="4">
        <v>45466</v>
      </c>
      <c r="J277" s="4">
        <v>45286</v>
      </c>
      <c r="K277" s="2" t="s">
        <v>77</v>
      </c>
      <c r="L277" s="2" t="s">
        <v>21</v>
      </c>
      <c r="M277" s="2" t="s">
        <v>22</v>
      </c>
      <c r="N277" s="2" t="s">
        <v>23</v>
      </c>
      <c r="O277" s="2" t="s">
        <v>24</v>
      </c>
      <c r="P277" s="2" t="s">
        <v>863</v>
      </c>
      <c r="Q277" s="9">
        <v>27000</v>
      </c>
    </row>
    <row r="278" spans="2:17" x14ac:dyDescent="0.25">
      <c r="B278" s="1">
        <f t="shared" si="4"/>
        <v>276</v>
      </c>
      <c r="C278" s="1" t="s">
        <v>591</v>
      </c>
      <c r="D278" s="2" t="s">
        <v>592</v>
      </c>
      <c r="E278" s="2" t="s">
        <v>40</v>
      </c>
      <c r="F278" s="2" t="s">
        <v>17</v>
      </c>
      <c r="G278" s="2" t="s">
        <v>71</v>
      </c>
      <c r="H278" s="2" t="s">
        <v>29</v>
      </c>
      <c r="I278" s="4">
        <v>45466</v>
      </c>
      <c r="J278" s="4">
        <v>45286</v>
      </c>
      <c r="K278" s="2" t="s">
        <v>77</v>
      </c>
      <c r="L278" s="2" t="s">
        <v>21</v>
      </c>
      <c r="M278" s="2" t="s">
        <v>35</v>
      </c>
      <c r="N278" s="2" t="s">
        <v>23</v>
      </c>
      <c r="O278" s="2" t="s">
        <v>24</v>
      </c>
      <c r="P278" s="2" t="s">
        <v>863</v>
      </c>
      <c r="Q278" s="9">
        <v>27000</v>
      </c>
    </row>
    <row r="279" spans="2:17" x14ac:dyDescent="0.25">
      <c r="B279" s="1">
        <f t="shared" si="4"/>
        <v>277</v>
      </c>
      <c r="C279" s="1" t="s">
        <v>593</v>
      </c>
      <c r="D279" s="2" t="s">
        <v>594</v>
      </c>
      <c r="E279" s="2" t="s">
        <v>33</v>
      </c>
      <c r="F279" s="2" t="s">
        <v>17</v>
      </c>
      <c r="G279" s="2" t="s">
        <v>71</v>
      </c>
      <c r="H279" s="2" t="s">
        <v>29</v>
      </c>
      <c r="I279" s="4">
        <v>45466</v>
      </c>
      <c r="J279" s="4">
        <v>45286</v>
      </c>
      <c r="K279" s="2" t="s">
        <v>77</v>
      </c>
      <c r="L279" s="2" t="s">
        <v>21</v>
      </c>
      <c r="M279" s="2" t="s">
        <v>30</v>
      </c>
      <c r="N279" s="2" t="s">
        <v>23</v>
      </c>
      <c r="O279" s="2" t="s">
        <v>24</v>
      </c>
      <c r="P279" s="2" t="s">
        <v>863</v>
      </c>
      <c r="Q279" s="9">
        <v>27000</v>
      </c>
    </row>
    <row r="280" spans="2:17" x14ac:dyDescent="0.25">
      <c r="B280" s="1">
        <f t="shared" si="4"/>
        <v>278</v>
      </c>
      <c r="C280" s="1" t="s">
        <v>595</v>
      </c>
      <c r="D280" s="2" t="s">
        <v>596</v>
      </c>
      <c r="E280" s="2" t="s">
        <v>33</v>
      </c>
      <c r="F280" s="2" t="s">
        <v>17</v>
      </c>
      <c r="G280" s="2" t="s">
        <v>71</v>
      </c>
      <c r="H280" s="2" t="s">
        <v>29</v>
      </c>
      <c r="I280" s="4">
        <v>45466</v>
      </c>
      <c r="J280" s="4">
        <v>45286</v>
      </c>
      <c r="K280" s="2" t="s">
        <v>77</v>
      </c>
      <c r="L280" s="2" t="s">
        <v>21</v>
      </c>
      <c r="M280" s="2" t="s">
        <v>22</v>
      </c>
      <c r="N280" s="2" t="s">
        <v>23</v>
      </c>
      <c r="O280" s="2" t="s">
        <v>24</v>
      </c>
      <c r="P280" s="2" t="s">
        <v>863</v>
      </c>
      <c r="Q280" s="9">
        <v>27000</v>
      </c>
    </row>
    <row r="281" spans="2:17" x14ac:dyDescent="0.25">
      <c r="B281" s="1">
        <f t="shared" si="4"/>
        <v>279</v>
      </c>
      <c r="C281" s="1" t="s">
        <v>597</v>
      </c>
      <c r="D281" s="2" t="s">
        <v>598</v>
      </c>
      <c r="E281" s="2" t="s">
        <v>27</v>
      </c>
      <c r="F281" s="2" t="s">
        <v>17</v>
      </c>
      <c r="G281" s="2" t="s">
        <v>71</v>
      </c>
      <c r="H281" s="2" t="s">
        <v>29</v>
      </c>
      <c r="I281" s="4">
        <v>45466</v>
      </c>
      <c r="J281" s="4">
        <v>45286</v>
      </c>
      <c r="K281" s="2" t="s">
        <v>77</v>
      </c>
      <c r="L281" s="2" t="s">
        <v>21</v>
      </c>
      <c r="M281" s="2" t="s">
        <v>137</v>
      </c>
      <c r="N281" s="2" t="s">
        <v>23</v>
      </c>
      <c r="O281" s="2" t="s">
        <v>24</v>
      </c>
      <c r="P281" s="2" t="s">
        <v>863</v>
      </c>
      <c r="Q281" s="9">
        <v>27000</v>
      </c>
    </row>
    <row r="282" spans="2:17" x14ac:dyDescent="0.25">
      <c r="B282" s="1">
        <f t="shared" si="4"/>
        <v>280</v>
      </c>
      <c r="C282" s="1" t="s">
        <v>599</v>
      </c>
      <c r="D282" s="2" t="s">
        <v>600</v>
      </c>
      <c r="E282" s="2" t="s">
        <v>33</v>
      </c>
      <c r="F282" s="2" t="s">
        <v>17</v>
      </c>
      <c r="G282" s="2" t="s">
        <v>71</v>
      </c>
      <c r="H282" s="2" t="s">
        <v>29</v>
      </c>
      <c r="I282" s="4">
        <v>45466</v>
      </c>
      <c r="J282" s="4">
        <v>45286</v>
      </c>
      <c r="K282" s="2" t="s">
        <v>20</v>
      </c>
      <c r="L282" s="2" t="s">
        <v>21</v>
      </c>
      <c r="M282" s="2" t="s">
        <v>35</v>
      </c>
      <c r="N282" s="2" t="s">
        <v>23</v>
      </c>
      <c r="O282" s="2" t="s">
        <v>24</v>
      </c>
      <c r="P282" s="2" t="s">
        <v>863</v>
      </c>
      <c r="Q282" s="9">
        <v>27000</v>
      </c>
    </row>
    <row r="283" spans="2:17" x14ac:dyDescent="0.25">
      <c r="B283" s="1">
        <f t="shared" si="4"/>
        <v>281</v>
      </c>
      <c r="C283" s="1" t="s">
        <v>601</v>
      </c>
      <c r="D283" s="2" t="s">
        <v>602</v>
      </c>
      <c r="E283" s="2" t="s">
        <v>40</v>
      </c>
      <c r="F283" s="2" t="s">
        <v>198</v>
      </c>
      <c r="G283" s="2" t="s">
        <v>71</v>
      </c>
      <c r="H283" s="2" t="s">
        <v>29</v>
      </c>
      <c r="I283" s="4">
        <v>45466</v>
      </c>
      <c r="J283" s="4">
        <v>45286</v>
      </c>
      <c r="K283" s="2" t="s">
        <v>77</v>
      </c>
      <c r="L283" s="2" t="s">
        <v>21</v>
      </c>
      <c r="M283" s="2" t="s">
        <v>35</v>
      </c>
      <c r="N283" s="2" t="s">
        <v>23</v>
      </c>
      <c r="O283" s="2" t="s">
        <v>24</v>
      </c>
      <c r="P283" s="2" t="s">
        <v>863</v>
      </c>
      <c r="Q283" s="9">
        <v>27000</v>
      </c>
    </row>
    <row r="284" spans="2:17" x14ac:dyDescent="0.25">
      <c r="B284" s="1">
        <f t="shared" si="4"/>
        <v>282</v>
      </c>
      <c r="C284" s="1" t="s">
        <v>603</v>
      </c>
      <c r="D284" s="2" t="s">
        <v>309</v>
      </c>
      <c r="E284" s="2" t="s">
        <v>40</v>
      </c>
      <c r="F284" s="2" t="s">
        <v>17</v>
      </c>
      <c r="G284" s="2" t="s">
        <v>71</v>
      </c>
      <c r="H284" s="2" t="s">
        <v>29</v>
      </c>
      <c r="I284" s="4">
        <v>45466</v>
      </c>
      <c r="J284" s="4">
        <v>45286</v>
      </c>
      <c r="K284" s="2" t="s">
        <v>20</v>
      </c>
      <c r="L284" s="2" t="s">
        <v>21</v>
      </c>
      <c r="M284" s="2" t="s">
        <v>30</v>
      </c>
      <c r="N284" s="2" t="s">
        <v>92</v>
      </c>
      <c r="O284" s="2" t="s">
        <v>43</v>
      </c>
      <c r="P284" s="2" t="s">
        <v>863</v>
      </c>
      <c r="Q284" s="9">
        <v>27000</v>
      </c>
    </row>
    <row r="285" spans="2:17" x14ac:dyDescent="0.25">
      <c r="B285" s="1">
        <f t="shared" si="4"/>
        <v>283</v>
      </c>
      <c r="C285" s="1" t="s">
        <v>604</v>
      </c>
      <c r="D285" s="2" t="s">
        <v>605</v>
      </c>
      <c r="E285" s="2" t="s">
        <v>33</v>
      </c>
      <c r="F285" s="2" t="s">
        <v>17</v>
      </c>
      <c r="G285" s="2" t="s">
        <v>71</v>
      </c>
      <c r="H285" s="2" t="s">
        <v>29</v>
      </c>
      <c r="I285" s="4">
        <v>45466</v>
      </c>
      <c r="J285" s="4">
        <v>45286</v>
      </c>
      <c r="K285" s="2" t="s">
        <v>20</v>
      </c>
      <c r="L285" s="2" t="s">
        <v>21</v>
      </c>
      <c r="M285" s="2" t="s">
        <v>22</v>
      </c>
      <c r="N285" s="2" t="s">
        <v>92</v>
      </c>
      <c r="O285" s="2" t="s">
        <v>43</v>
      </c>
      <c r="P285" s="2" t="s">
        <v>863</v>
      </c>
      <c r="Q285" s="9">
        <v>27000</v>
      </c>
    </row>
    <row r="286" spans="2:17" x14ac:dyDescent="0.25">
      <c r="B286" s="1">
        <f t="shared" si="4"/>
        <v>284</v>
      </c>
      <c r="C286" s="1" t="s">
        <v>606</v>
      </c>
      <c r="D286" s="2" t="s">
        <v>607</v>
      </c>
      <c r="E286" s="2" t="s">
        <v>201</v>
      </c>
      <c r="F286" s="2" t="s">
        <v>17</v>
      </c>
      <c r="G286" s="2" t="s">
        <v>71</v>
      </c>
      <c r="H286" s="2" t="s">
        <v>29</v>
      </c>
      <c r="I286" s="4">
        <v>45467</v>
      </c>
      <c r="J286" s="4">
        <v>45287</v>
      </c>
      <c r="K286" s="2" t="s">
        <v>20</v>
      </c>
      <c r="L286" s="2" t="s">
        <v>21</v>
      </c>
      <c r="M286" s="2" t="s">
        <v>144</v>
      </c>
      <c r="N286" s="2" t="s">
        <v>23</v>
      </c>
      <c r="O286" s="2" t="s">
        <v>24</v>
      </c>
      <c r="P286" s="2" t="s">
        <v>863</v>
      </c>
      <c r="Q286" s="9">
        <v>27000</v>
      </c>
    </row>
    <row r="287" spans="2:17" x14ac:dyDescent="0.25">
      <c r="B287" s="1">
        <f t="shared" si="4"/>
        <v>285</v>
      </c>
      <c r="C287" s="1" t="s">
        <v>608</v>
      </c>
      <c r="D287" s="2" t="s">
        <v>609</v>
      </c>
      <c r="E287" s="2" t="s">
        <v>16</v>
      </c>
      <c r="F287" s="2" t="s">
        <v>17</v>
      </c>
      <c r="G287" s="2" t="s">
        <v>71</v>
      </c>
      <c r="H287" s="2" t="s">
        <v>29</v>
      </c>
      <c r="I287" s="4">
        <v>45467</v>
      </c>
      <c r="J287" s="4">
        <v>45287</v>
      </c>
      <c r="K287" s="2" t="s">
        <v>20</v>
      </c>
      <c r="L287" s="2" t="s">
        <v>21</v>
      </c>
      <c r="M287" s="2" t="s">
        <v>111</v>
      </c>
      <c r="N287" s="2" t="s">
        <v>285</v>
      </c>
      <c r="O287" s="2" t="s">
        <v>43</v>
      </c>
      <c r="P287" s="2" t="s">
        <v>863</v>
      </c>
      <c r="Q287" s="9">
        <v>27000</v>
      </c>
    </row>
    <row r="288" spans="2:17" x14ac:dyDescent="0.25">
      <c r="B288" s="1">
        <f t="shared" si="4"/>
        <v>286</v>
      </c>
      <c r="C288" s="1" t="s">
        <v>610</v>
      </c>
      <c r="D288" s="2" t="s">
        <v>611</v>
      </c>
      <c r="E288" s="2" t="s">
        <v>16</v>
      </c>
      <c r="F288" s="2" t="s">
        <v>17</v>
      </c>
      <c r="G288" s="2" t="s">
        <v>71</v>
      </c>
      <c r="H288" s="2" t="s">
        <v>29</v>
      </c>
      <c r="I288" s="4">
        <v>45467</v>
      </c>
      <c r="J288" s="4">
        <v>45287</v>
      </c>
      <c r="K288" s="2" t="s">
        <v>77</v>
      </c>
      <c r="L288" s="2" t="s">
        <v>21</v>
      </c>
      <c r="M288" s="2" t="s">
        <v>35</v>
      </c>
      <c r="N288" s="2" t="s">
        <v>216</v>
      </c>
      <c r="O288" s="2" t="s">
        <v>24</v>
      </c>
      <c r="P288" s="2" t="s">
        <v>863</v>
      </c>
      <c r="Q288" s="9">
        <v>27000</v>
      </c>
    </row>
    <row r="289" spans="2:17" x14ac:dyDescent="0.25">
      <c r="B289" s="1">
        <f t="shared" si="4"/>
        <v>287</v>
      </c>
      <c r="C289" s="1" t="s">
        <v>612</v>
      </c>
      <c r="D289" s="2" t="s">
        <v>613</v>
      </c>
      <c r="E289" s="2" t="s">
        <v>33</v>
      </c>
      <c r="F289" s="2" t="s">
        <v>17</v>
      </c>
      <c r="G289" s="2" t="s">
        <v>71</v>
      </c>
      <c r="H289" s="2" t="s">
        <v>29</v>
      </c>
      <c r="I289" s="4">
        <v>45470</v>
      </c>
      <c r="J289" s="4">
        <v>45290</v>
      </c>
      <c r="K289" s="2" t="s">
        <v>77</v>
      </c>
      <c r="L289" s="2" t="s">
        <v>21</v>
      </c>
      <c r="M289" s="2" t="s">
        <v>30</v>
      </c>
      <c r="N289" s="2" t="s">
        <v>112</v>
      </c>
      <c r="O289" s="2" t="s">
        <v>43</v>
      </c>
      <c r="P289" s="2" t="s">
        <v>863</v>
      </c>
      <c r="Q289" s="9">
        <v>30000</v>
      </c>
    </row>
    <row r="290" spans="2:17" x14ac:dyDescent="0.25">
      <c r="B290" s="1">
        <f t="shared" si="4"/>
        <v>288</v>
      </c>
      <c r="C290" s="1" t="s">
        <v>614</v>
      </c>
      <c r="D290" s="2" t="s">
        <v>615</v>
      </c>
      <c r="E290" s="2" t="s">
        <v>16</v>
      </c>
      <c r="F290" s="2" t="s">
        <v>17</v>
      </c>
      <c r="G290" s="2" t="s">
        <v>71</v>
      </c>
      <c r="H290" s="2" t="s">
        <v>29</v>
      </c>
      <c r="I290" s="4">
        <v>45470</v>
      </c>
      <c r="J290" s="4">
        <v>45290</v>
      </c>
      <c r="K290" s="2" t="s">
        <v>20</v>
      </c>
      <c r="L290" s="2" t="s">
        <v>21</v>
      </c>
      <c r="M290" s="2" t="s">
        <v>54</v>
      </c>
      <c r="N290" s="2" t="s">
        <v>92</v>
      </c>
      <c r="O290" s="2" t="s">
        <v>43</v>
      </c>
      <c r="P290" s="2" t="s">
        <v>863</v>
      </c>
      <c r="Q290" s="9">
        <v>30000</v>
      </c>
    </row>
    <row r="291" spans="2:17" x14ac:dyDescent="0.25">
      <c r="B291" s="1">
        <f t="shared" si="4"/>
        <v>289</v>
      </c>
      <c r="C291" s="1" t="s">
        <v>616</v>
      </c>
      <c r="D291" s="2" t="s">
        <v>617</v>
      </c>
      <c r="E291" s="2" t="s">
        <v>40</v>
      </c>
      <c r="F291" s="2" t="s">
        <v>17</v>
      </c>
      <c r="G291" s="2" t="s">
        <v>71</v>
      </c>
      <c r="H291" s="2" t="s">
        <v>29</v>
      </c>
      <c r="I291" s="4">
        <v>45470</v>
      </c>
      <c r="J291" s="4">
        <v>45290</v>
      </c>
      <c r="K291" s="2" t="s">
        <v>20</v>
      </c>
      <c r="L291" s="2" t="s">
        <v>21</v>
      </c>
      <c r="M291" s="2" t="s">
        <v>54</v>
      </c>
      <c r="N291" s="2" t="s">
        <v>23</v>
      </c>
      <c r="O291" s="2" t="s">
        <v>24</v>
      </c>
      <c r="P291" s="2" t="s">
        <v>863</v>
      </c>
      <c r="Q291" s="9">
        <v>30000</v>
      </c>
    </row>
    <row r="292" spans="2:17" x14ac:dyDescent="0.25">
      <c r="B292" s="1">
        <f t="shared" si="4"/>
        <v>290</v>
      </c>
      <c r="C292" s="1" t="s">
        <v>618</v>
      </c>
      <c r="D292" s="2" t="s">
        <v>619</v>
      </c>
      <c r="E292" s="2" t="s">
        <v>33</v>
      </c>
      <c r="F292" s="2" t="s">
        <v>17</v>
      </c>
      <c r="G292" s="2" t="s">
        <v>71</v>
      </c>
      <c r="H292" s="2" t="s">
        <v>29</v>
      </c>
      <c r="I292" s="4">
        <v>45472</v>
      </c>
      <c r="J292" s="4">
        <v>45292</v>
      </c>
      <c r="K292" s="2" t="s">
        <v>20</v>
      </c>
      <c r="L292" s="2" t="s">
        <v>21</v>
      </c>
      <c r="M292" s="2" t="s">
        <v>111</v>
      </c>
      <c r="N292" s="2" t="s">
        <v>92</v>
      </c>
      <c r="O292" s="2" t="s">
        <v>43</v>
      </c>
      <c r="P292" s="2" t="s">
        <v>863</v>
      </c>
      <c r="Q292" s="9">
        <v>30000</v>
      </c>
    </row>
    <row r="293" spans="2:17" x14ac:dyDescent="0.25">
      <c r="B293" s="1">
        <f t="shared" si="4"/>
        <v>291</v>
      </c>
      <c r="C293" s="1" t="s">
        <v>620</v>
      </c>
      <c r="D293" s="2" t="s">
        <v>621</v>
      </c>
      <c r="E293" s="2" t="s">
        <v>16</v>
      </c>
      <c r="F293" s="2" t="s">
        <v>17</v>
      </c>
      <c r="G293" s="2" t="s">
        <v>71</v>
      </c>
      <c r="H293" s="2" t="s">
        <v>29</v>
      </c>
      <c r="I293" s="4">
        <v>45472</v>
      </c>
      <c r="J293" s="4">
        <v>45292</v>
      </c>
      <c r="K293" s="2" t="s">
        <v>20</v>
      </c>
      <c r="L293" s="2" t="s">
        <v>21</v>
      </c>
      <c r="M293" s="2" t="s">
        <v>35</v>
      </c>
      <c r="N293" s="2" t="s">
        <v>46</v>
      </c>
      <c r="O293" s="2" t="s">
        <v>47</v>
      </c>
      <c r="P293" s="2" t="s">
        <v>863</v>
      </c>
      <c r="Q293" s="9">
        <v>30000</v>
      </c>
    </row>
    <row r="294" spans="2:17" x14ac:dyDescent="0.25">
      <c r="B294" s="1">
        <f t="shared" si="4"/>
        <v>292</v>
      </c>
      <c r="C294" s="1" t="s">
        <v>622</v>
      </c>
      <c r="D294" s="2" t="s">
        <v>623</v>
      </c>
      <c r="E294" s="2" t="s">
        <v>16</v>
      </c>
      <c r="F294" s="2" t="s">
        <v>17</v>
      </c>
      <c r="G294" s="2" t="s">
        <v>71</v>
      </c>
      <c r="H294" s="2" t="s">
        <v>29</v>
      </c>
      <c r="I294" s="4">
        <v>45472</v>
      </c>
      <c r="J294" s="4">
        <v>45292</v>
      </c>
      <c r="K294" s="2" t="s">
        <v>20</v>
      </c>
      <c r="L294" s="2" t="s">
        <v>21</v>
      </c>
      <c r="M294" s="2" t="s">
        <v>22</v>
      </c>
      <c r="N294" s="2" t="s">
        <v>23</v>
      </c>
      <c r="O294" s="2" t="s">
        <v>24</v>
      </c>
      <c r="P294" s="2" t="s">
        <v>863</v>
      </c>
      <c r="Q294" s="9">
        <v>30000</v>
      </c>
    </row>
    <row r="295" spans="2:17" x14ac:dyDescent="0.25">
      <c r="B295" s="1">
        <f t="shared" si="4"/>
        <v>293</v>
      </c>
      <c r="C295" s="1" t="s">
        <v>624</v>
      </c>
      <c r="D295" s="2" t="s">
        <v>625</v>
      </c>
      <c r="E295" s="2" t="s">
        <v>33</v>
      </c>
      <c r="F295" s="2" t="s">
        <v>17</v>
      </c>
      <c r="G295" s="2" t="s">
        <v>71</v>
      </c>
      <c r="H295" s="2" t="s">
        <v>29</v>
      </c>
      <c r="I295" s="4">
        <v>45472</v>
      </c>
      <c r="J295" s="4">
        <v>45292</v>
      </c>
      <c r="K295" s="2" t="s">
        <v>20</v>
      </c>
      <c r="L295" s="2" t="s">
        <v>21</v>
      </c>
      <c r="M295" s="2" t="s">
        <v>35</v>
      </c>
      <c r="N295" s="2" t="s">
        <v>23</v>
      </c>
      <c r="O295" s="2" t="s">
        <v>24</v>
      </c>
      <c r="P295" s="2" t="s">
        <v>863</v>
      </c>
      <c r="Q295" s="9">
        <v>30000</v>
      </c>
    </row>
    <row r="296" spans="2:17" x14ac:dyDescent="0.25">
      <c r="B296" s="1">
        <f t="shared" si="4"/>
        <v>294</v>
      </c>
      <c r="C296" s="1" t="s">
        <v>626</v>
      </c>
      <c r="D296" s="2" t="s">
        <v>627</v>
      </c>
      <c r="E296" s="2" t="s">
        <v>33</v>
      </c>
      <c r="F296" s="2" t="s">
        <v>17</v>
      </c>
      <c r="G296" s="2" t="s">
        <v>71</v>
      </c>
      <c r="H296" s="2" t="s">
        <v>29</v>
      </c>
      <c r="I296" s="4">
        <v>45472</v>
      </c>
      <c r="J296" s="4">
        <v>45292</v>
      </c>
      <c r="K296" s="2" t="s">
        <v>20</v>
      </c>
      <c r="L296" s="2" t="s">
        <v>34</v>
      </c>
      <c r="M296" s="2" t="s">
        <v>54</v>
      </c>
      <c r="N296" s="2" t="s">
        <v>23</v>
      </c>
      <c r="O296" s="2" t="s">
        <v>24</v>
      </c>
      <c r="P296" s="2" t="s">
        <v>863</v>
      </c>
      <c r="Q296" s="9">
        <v>30000</v>
      </c>
    </row>
    <row r="297" spans="2:17" x14ac:dyDescent="0.25">
      <c r="B297" s="1">
        <f t="shared" si="4"/>
        <v>295</v>
      </c>
      <c r="C297" s="1" t="s">
        <v>628</v>
      </c>
      <c r="D297" s="2" t="s">
        <v>629</v>
      </c>
      <c r="E297" s="2" t="s">
        <v>16</v>
      </c>
      <c r="F297" s="2" t="s">
        <v>17</v>
      </c>
      <c r="G297" s="2" t="s">
        <v>71</v>
      </c>
      <c r="H297" s="2" t="s">
        <v>29</v>
      </c>
      <c r="I297" s="4">
        <v>45472</v>
      </c>
      <c r="J297" s="4">
        <v>45292</v>
      </c>
      <c r="K297" s="2" t="s">
        <v>20</v>
      </c>
      <c r="L297" s="2" t="s">
        <v>21</v>
      </c>
      <c r="M297" s="2" t="s">
        <v>111</v>
      </c>
      <c r="N297" s="2" t="s">
        <v>23</v>
      </c>
      <c r="O297" s="2" t="s">
        <v>24</v>
      </c>
      <c r="P297" s="2" t="s">
        <v>863</v>
      </c>
      <c r="Q297" s="9">
        <v>30000</v>
      </c>
    </row>
    <row r="298" spans="2:17" x14ac:dyDescent="0.25">
      <c r="B298" s="1">
        <f t="shared" si="4"/>
        <v>296</v>
      </c>
      <c r="C298" s="1" t="s">
        <v>630</v>
      </c>
      <c r="D298" s="2" t="s">
        <v>189</v>
      </c>
      <c r="E298" s="2" t="s">
        <v>40</v>
      </c>
      <c r="F298" s="2" t="s">
        <v>17</v>
      </c>
      <c r="G298" s="2" t="s">
        <v>71</v>
      </c>
      <c r="H298" s="2" t="s">
        <v>29</v>
      </c>
      <c r="I298" s="4">
        <v>45472</v>
      </c>
      <c r="J298" s="4">
        <v>45292</v>
      </c>
      <c r="K298" s="2" t="s">
        <v>20</v>
      </c>
      <c r="L298" s="2" t="s">
        <v>21</v>
      </c>
      <c r="M298" s="2" t="s">
        <v>35</v>
      </c>
      <c r="N298" s="2" t="s">
        <v>187</v>
      </c>
      <c r="O298" s="2" t="s">
        <v>37</v>
      </c>
      <c r="P298" s="2" t="s">
        <v>863</v>
      </c>
      <c r="Q298" s="9">
        <v>30000</v>
      </c>
    </row>
    <row r="299" spans="2:17" x14ac:dyDescent="0.25">
      <c r="B299" s="1">
        <f t="shared" si="4"/>
        <v>297</v>
      </c>
      <c r="C299" s="1" t="s">
        <v>631</v>
      </c>
      <c r="D299" s="2" t="s">
        <v>632</v>
      </c>
      <c r="E299" s="2" t="s">
        <v>33</v>
      </c>
      <c r="F299" s="2" t="s">
        <v>17</v>
      </c>
      <c r="G299" s="2" t="s">
        <v>71</v>
      </c>
      <c r="H299" s="2" t="s">
        <v>29</v>
      </c>
      <c r="I299" s="4">
        <v>45472</v>
      </c>
      <c r="J299" s="4">
        <v>45292</v>
      </c>
      <c r="K299" s="2" t="s">
        <v>77</v>
      </c>
      <c r="L299" s="2" t="s">
        <v>21</v>
      </c>
      <c r="M299" s="2" t="s">
        <v>22</v>
      </c>
      <c r="N299" s="2" t="s">
        <v>221</v>
      </c>
      <c r="O299" s="2" t="s">
        <v>43</v>
      </c>
      <c r="P299" s="2" t="s">
        <v>863</v>
      </c>
      <c r="Q299" s="9">
        <v>30000</v>
      </c>
    </row>
    <row r="300" spans="2:17" x14ac:dyDescent="0.25">
      <c r="B300" s="1">
        <f t="shared" si="4"/>
        <v>298</v>
      </c>
      <c r="C300" s="1" t="s">
        <v>633</v>
      </c>
      <c r="D300" s="2" t="s">
        <v>634</v>
      </c>
      <c r="E300" s="2" t="s">
        <v>33</v>
      </c>
      <c r="F300" s="2" t="s">
        <v>17</v>
      </c>
      <c r="G300" s="2" t="s">
        <v>71</v>
      </c>
      <c r="H300" s="2" t="s">
        <v>29</v>
      </c>
      <c r="I300" s="4">
        <v>45472</v>
      </c>
      <c r="J300" s="4">
        <v>45292</v>
      </c>
      <c r="K300" s="2" t="s">
        <v>77</v>
      </c>
      <c r="L300" s="2" t="s">
        <v>34</v>
      </c>
      <c r="M300" s="2" t="s">
        <v>35</v>
      </c>
      <c r="N300" s="2" t="s">
        <v>23</v>
      </c>
      <c r="O300" s="2" t="s">
        <v>24</v>
      </c>
      <c r="P300" s="2" t="s">
        <v>863</v>
      </c>
      <c r="Q300" s="9">
        <v>30000</v>
      </c>
    </row>
    <row r="301" spans="2:17" x14ac:dyDescent="0.25">
      <c r="B301" s="1">
        <f t="shared" si="4"/>
        <v>299</v>
      </c>
      <c r="C301" s="1" t="s">
        <v>635</v>
      </c>
      <c r="D301" s="2" t="s">
        <v>636</v>
      </c>
      <c r="E301" s="2" t="s">
        <v>33</v>
      </c>
      <c r="F301" s="2" t="s">
        <v>17</v>
      </c>
      <c r="G301" s="2" t="s">
        <v>71</v>
      </c>
      <c r="H301" s="2" t="s">
        <v>29</v>
      </c>
      <c r="I301" s="4">
        <v>45472</v>
      </c>
      <c r="J301" s="4">
        <v>45292</v>
      </c>
      <c r="K301" s="2" t="s">
        <v>20</v>
      </c>
      <c r="L301" s="2" t="s">
        <v>34</v>
      </c>
      <c r="M301" s="2" t="s">
        <v>35</v>
      </c>
      <c r="N301" s="2" t="s">
        <v>23</v>
      </c>
      <c r="O301" s="2" t="s">
        <v>24</v>
      </c>
      <c r="P301" s="2" t="s">
        <v>863</v>
      </c>
      <c r="Q301" s="9">
        <v>30000</v>
      </c>
    </row>
    <row r="302" spans="2:17" x14ac:dyDescent="0.25">
      <c r="B302" s="1">
        <f t="shared" si="4"/>
        <v>300</v>
      </c>
      <c r="C302" s="1" t="s">
        <v>637</v>
      </c>
      <c r="D302" s="2" t="s">
        <v>638</v>
      </c>
      <c r="E302" s="2" t="s">
        <v>40</v>
      </c>
      <c r="F302" s="2" t="s">
        <v>17</v>
      </c>
      <c r="G302" s="2" t="s">
        <v>71</v>
      </c>
      <c r="H302" s="2" t="s">
        <v>29</v>
      </c>
      <c r="I302" s="4">
        <v>45472</v>
      </c>
      <c r="J302" s="4">
        <v>45292</v>
      </c>
      <c r="K302" s="2" t="s">
        <v>20</v>
      </c>
      <c r="L302" s="2" t="s">
        <v>21</v>
      </c>
      <c r="M302" s="2" t="s">
        <v>30</v>
      </c>
      <c r="N302" s="2" t="s">
        <v>23</v>
      </c>
      <c r="O302" s="2" t="s">
        <v>24</v>
      </c>
      <c r="P302" s="2" t="s">
        <v>863</v>
      </c>
      <c r="Q302" s="9">
        <v>30000</v>
      </c>
    </row>
    <row r="303" spans="2:17" x14ac:dyDescent="0.25">
      <c r="B303" s="1">
        <f t="shared" si="4"/>
        <v>301</v>
      </c>
      <c r="C303" s="1" t="s">
        <v>639</v>
      </c>
      <c r="D303" s="2" t="s">
        <v>640</v>
      </c>
      <c r="E303" s="2" t="s">
        <v>33</v>
      </c>
      <c r="F303" s="2" t="s">
        <v>641</v>
      </c>
      <c r="G303" s="2" t="s">
        <v>71</v>
      </c>
      <c r="H303" s="2" t="s">
        <v>29</v>
      </c>
      <c r="I303" s="4">
        <v>45472</v>
      </c>
      <c r="J303" s="4">
        <v>45292</v>
      </c>
      <c r="K303" s="2" t="s">
        <v>20</v>
      </c>
      <c r="L303" s="2" t="s">
        <v>21</v>
      </c>
      <c r="M303" s="2" t="s">
        <v>30</v>
      </c>
      <c r="N303" s="2" t="s">
        <v>23</v>
      </c>
      <c r="O303" s="2" t="s">
        <v>24</v>
      </c>
      <c r="P303" s="2" t="s">
        <v>863</v>
      </c>
      <c r="Q303" s="9">
        <v>30000</v>
      </c>
    </row>
    <row r="304" spans="2:17" x14ac:dyDescent="0.25">
      <c r="B304" s="1">
        <f t="shared" si="4"/>
        <v>302</v>
      </c>
      <c r="C304" s="1" t="s">
        <v>642</v>
      </c>
      <c r="D304" s="2" t="s">
        <v>643</v>
      </c>
      <c r="E304" s="2" t="s">
        <v>33</v>
      </c>
      <c r="F304" s="2" t="s">
        <v>641</v>
      </c>
      <c r="G304" s="2" t="s">
        <v>71</v>
      </c>
      <c r="H304" s="2" t="s">
        <v>29</v>
      </c>
      <c r="I304" s="4">
        <v>45472</v>
      </c>
      <c r="J304" s="4">
        <v>45292</v>
      </c>
      <c r="K304" s="2" t="s">
        <v>20</v>
      </c>
      <c r="L304" s="2" t="s">
        <v>21</v>
      </c>
      <c r="M304" s="2" t="s">
        <v>30</v>
      </c>
      <c r="N304" s="2" t="s">
        <v>23</v>
      </c>
      <c r="O304" s="2" t="s">
        <v>24</v>
      </c>
      <c r="P304" s="2" t="s">
        <v>863</v>
      </c>
      <c r="Q304" s="9">
        <v>30000</v>
      </c>
    </row>
    <row r="305" spans="2:17" x14ac:dyDescent="0.25">
      <c r="B305" s="1">
        <f t="shared" si="4"/>
        <v>303</v>
      </c>
      <c r="C305" s="1" t="s">
        <v>644</v>
      </c>
      <c r="D305" s="2" t="s">
        <v>645</v>
      </c>
      <c r="E305" s="2" t="s">
        <v>40</v>
      </c>
      <c r="F305" s="2" t="s">
        <v>17</v>
      </c>
      <c r="G305" s="2" t="s">
        <v>71</v>
      </c>
      <c r="H305" s="2" t="s">
        <v>29</v>
      </c>
      <c r="I305" s="4">
        <v>45473</v>
      </c>
      <c r="J305" s="4">
        <v>45293</v>
      </c>
      <c r="K305" s="2" t="s">
        <v>20</v>
      </c>
      <c r="L305" s="2" t="s">
        <v>21</v>
      </c>
      <c r="M305" s="2" t="s">
        <v>144</v>
      </c>
      <c r="N305" s="2" t="s">
        <v>513</v>
      </c>
      <c r="O305" s="2" t="s">
        <v>43</v>
      </c>
      <c r="P305" s="2" t="s">
        <v>863</v>
      </c>
      <c r="Q305" s="9">
        <v>30000</v>
      </c>
    </row>
    <row r="306" spans="2:17" x14ac:dyDescent="0.25">
      <c r="B306" s="1">
        <f t="shared" si="4"/>
        <v>304</v>
      </c>
      <c r="C306" s="1" t="s">
        <v>646</v>
      </c>
      <c r="D306" s="2" t="s">
        <v>647</v>
      </c>
      <c r="E306" s="2" t="s">
        <v>40</v>
      </c>
      <c r="F306" s="2" t="s">
        <v>17</v>
      </c>
      <c r="G306" s="2" t="s">
        <v>71</v>
      </c>
      <c r="H306" s="2" t="s">
        <v>29</v>
      </c>
      <c r="I306" s="4">
        <v>45473</v>
      </c>
      <c r="J306" s="4">
        <v>45293</v>
      </c>
      <c r="K306" s="2" t="s">
        <v>20</v>
      </c>
      <c r="L306" s="2" t="s">
        <v>21</v>
      </c>
      <c r="M306" s="2" t="s">
        <v>22</v>
      </c>
      <c r="N306" s="2" t="s">
        <v>92</v>
      </c>
      <c r="O306" s="2" t="s">
        <v>43</v>
      </c>
      <c r="P306" s="2" t="s">
        <v>863</v>
      </c>
      <c r="Q306" s="9">
        <v>30000</v>
      </c>
    </row>
    <row r="307" spans="2:17" x14ac:dyDescent="0.25">
      <c r="B307" s="1">
        <f t="shared" si="4"/>
        <v>305</v>
      </c>
      <c r="C307" s="1" t="s">
        <v>648</v>
      </c>
      <c r="D307" s="2" t="s">
        <v>649</v>
      </c>
      <c r="E307" s="2" t="s">
        <v>33</v>
      </c>
      <c r="F307" s="2" t="s">
        <v>17</v>
      </c>
      <c r="G307" s="2" t="s">
        <v>71</v>
      </c>
      <c r="H307" s="2" t="s">
        <v>29</v>
      </c>
      <c r="I307" s="4">
        <v>45473</v>
      </c>
      <c r="J307" s="4">
        <v>45293</v>
      </c>
      <c r="K307" s="2" t="s">
        <v>20</v>
      </c>
      <c r="L307" s="2" t="s">
        <v>21</v>
      </c>
      <c r="M307" s="2" t="s">
        <v>35</v>
      </c>
      <c r="N307" s="2" t="s">
        <v>23</v>
      </c>
      <c r="O307" s="2" t="s">
        <v>24</v>
      </c>
      <c r="P307" s="2" t="s">
        <v>863</v>
      </c>
      <c r="Q307" s="9">
        <v>30000</v>
      </c>
    </row>
    <row r="308" spans="2:17" x14ac:dyDescent="0.25">
      <c r="B308" s="1">
        <f t="shared" si="4"/>
        <v>306</v>
      </c>
      <c r="C308" s="1" t="s">
        <v>650</v>
      </c>
      <c r="D308" s="2" t="s">
        <v>651</v>
      </c>
      <c r="E308" s="2" t="s">
        <v>40</v>
      </c>
      <c r="F308" s="2" t="s">
        <v>17</v>
      </c>
      <c r="G308" s="2" t="s">
        <v>71</v>
      </c>
      <c r="H308" s="2" t="s">
        <v>29</v>
      </c>
      <c r="I308" s="4">
        <v>45474</v>
      </c>
      <c r="J308" s="4">
        <v>45294</v>
      </c>
      <c r="K308" s="2" t="s">
        <v>77</v>
      </c>
      <c r="L308" s="2" t="s">
        <v>21</v>
      </c>
      <c r="M308" s="2" t="s">
        <v>35</v>
      </c>
      <c r="N308" s="2" t="s">
        <v>278</v>
      </c>
      <c r="O308" s="2" t="s">
        <v>279</v>
      </c>
      <c r="P308" s="2" t="s">
        <v>863</v>
      </c>
      <c r="Q308" s="9">
        <v>30000</v>
      </c>
    </row>
    <row r="309" spans="2:17" x14ac:dyDescent="0.25">
      <c r="B309" s="1">
        <f t="shared" si="4"/>
        <v>307</v>
      </c>
      <c r="C309" s="1" t="s">
        <v>652</v>
      </c>
      <c r="D309" s="2" t="s">
        <v>653</v>
      </c>
      <c r="E309" s="2" t="s">
        <v>40</v>
      </c>
      <c r="F309" s="2" t="s">
        <v>17</v>
      </c>
      <c r="G309" s="2" t="s">
        <v>71</v>
      </c>
      <c r="H309" s="2" t="s">
        <v>29</v>
      </c>
      <c r="I309" s="4">
        <v>45474</v>
      </c>
      <c r="J309" s="4">
        <v>45294</v>
      </c>
      <c r="K309" s="2" t="s">
        <v>77</v>
      </c>
      <c r="L309" s="2" t="s">
        <v>21</v>
      </c>
      <c r="M309" s="2" t="s">
        <v>30</v>
      </c>
      <c r="N309" s="2" t="s">
        <v>23</v>
      </c>
      <c r="O309" s="2" t="s">
        <v>24</v>
      </c>
      <c r="P309" s="2" t="s">
        <v>863</v>
      </c>
      <c r="Q309" s="9">
        <v>30000</v>
      </c>
    </row>
    <row r="310" spans="2:17" x14ac:dyDescent="0.25">
      <c r="B310" s="1">
        <f t="shared" si="4"/>
        <v>308</v>
      </c>
      <c r="C310" s="1" t="s">
        <v>654</v>
      </c>
      <c r="D310" s="2" t="s">
        <v>655</v>
      </c>
      <c r="E310" s="2" t="s">
        <v>33</v>
      </c>
      <c r="F310" s="2" t="s">
        <v>17</v>
      </c>
      <c r="G310" s="2" t="s">
        <v>71</v>
      </c>
      <c r="H310" s="2" t="s">
        <v>29</v>
      </c>
      <c r="I310" s="4">
        <v>45477</v>
      </c>
      <c r="J310" s="4">
        <v>45297</v>
      </c>
      <c r="K310" s="2" t="s">
        <v>20</v>
      </c>
      <c r="L310" s="2" t="s">
        <v>21</v>
      </c>
      <c r="M310" s="2" t="s">
        <v>22</v>
      </c>
      <c r="N310" s="2" t="s">
        <v>92</v>
      </c>
      <c r="O310" s="2" t="s">
        <v>43</v>
      </c>
      <c r="P310" s="2" t="s">
        <v>863</v>
      </c>
      <c r="Q310" s="9">
        <v>30000</v>
      </c>
    </row>
    <row r="311" spans="2:17" x14ac:dyDescent="0.25">
      <c r="B311" s="1">
        <f t="shared" si="4"/>
        <v>309</v>
      </c>
      <c r="C311" s="1" t="s">
        <v>656</v>
      </c>
      <c r="D311" s="2" t="s">
        <v>657</v>
      </c>
      <c r="E311" s="2" t="s">
        <v>16</v>
      </c>
      <c r="F311" s="2" t="s">
        <v>17</v>
      </c>
      <c r="G311" s="2" t="s">
        <v>71</v>
      </c>
      <c r="H311" s="2" t="s">
        <v>29</v>
      </c>
      <c r="I311" s="4">
        <v>45477</v>
      </c>
      <c r="J311" s="4">
        <v>45297</v>
      </c>
      <c r="K311" s="2" t="s">
        <v>20</v>
      </c>
      <c r="L311" s="2" t="s">
        <v>21</v>
      </c>
      <c r="M311" s="2" t="s">
        <v>22</v>
      </c>
      <c r="N311" s="2" t="s">
        <v>92</v>
      </c>
      <c r="O311" s="2" t="s">
        <v>43</v>
      </c>
      <c r="P311" s="2" t="s">
        <v>863</v>
      </c>
      <c r="Q311" s="9">
        <v>30000</v>
      </c>
    </row>
    <row r="312" spans="2:17" x14ac:dyDescent="0.25">
      <c r="B312" s="1">
        <f t="shared" si="4"/>
        <v>310</v>
      </c>
      <c r="C312" s="1" t="s">
        <v>658</v>
      </c>
      <c r="D312" s="2" t="s">
        <v>659</v>
      </c>
      <c r="E312" s="2" t="s">
        <v>16</v>
      </c>
      <c r="F312" s="2" t="s">
        <v>17</v>
      </c>
      <c r="G312" s="2" t="s">
        <v>71</v>
      </c>
      <c r="H312" s="2" t="s">
        <v>29</v>
      </c>
      <c r="I312" s="4">
        <v>45477</v>
      </c>
      <c r="J312" s="4">
        <v>45297</v>
      </c>
      <c r="K312" s="2" t="s">
        <v>77</v>
      </c>
      <c r="L312" s="2" t="s">
        <v>34</v>
      </c>
      <c r="M312" s="2" t="s">
        <v>22</v>
      </c>
      <c r="N312" s="2" t="s">
        <v>285</v>
      </c>
      <c r="O312" s="2" t="s">
        <v>43</v>
      </c>
      <c r="P312" s="2" t="s">
        <v>863</v>
      </c>
      <c r="Q312" s="9">
        <v>30000</v>
      </c>
    </row>
    <row r="313" spans="2:17" x14ac:dyDescent="0.25">
      <c r="B313" s="1">
        <f t="shared" si="4"/>
        <v>311</v>
      </c>
      <c r="C313" s="1" t="s">
        <v>660</v>
      </c>
      <c r="D313" s="2" t="s">
        <v>661</v>
      </c>
      <c r="E313" s="2" t="s">
        <v>33</v>
      </c>
      <c r="F313" s="2" t="s">
        <v>17</v>
      </c>
      <c r="G313" s="2" t="s">
        <v>71</v>
      </c>
      <c r="H313" s="2" t="s">
        <v>29</v>
      </c>
      <c r="I313" s="4">
        <v>45477</v>
      </c>
      <c r="J313" s="4">
        <v>45297</v>
      </c>
      <c r="K313" s="2" t="s">
        <v>77</v>
      </c>
      <c r="L313" s="2" t="s">
        <v>21</v>
      </c>
      <c r="M313" s="2" t="s">
        <v>30</v>
      </c>
      <c r="N313" s="2" t="s">
        <v>23</v>
      </c>
      <c r="O313" s="2" t="s">
        <v>24</v>
      </c>
      <c r="P313" s="2" t="s">
        <v>863</v>
      </c>
      <c r="Q313" s="9">
        <v>6000</v>
      </c>
    </row>
    <row r="314" spans="2:17" x14ac:dyDescent="0.25">
      <c r="B314" s="1">
        <f t="shared" si="4"/>
        <v>312</v>
      </c>
      <c r="C314" s="1" t="s">
        <v>662</v>
      </c>
      <c r="D314" s="2" t="s">
        <v>663</v>
      </c>
      <c r="E314" s="2" t="s">
        <v>33</v>
      </c>
      <c r="F314" s="2" t="s">
        <v>165</v>
      </c>
      <c r="G314" s="2" t="s">
        <v>28</v>
      </c>
      <c r="H314" s="2" t="s">
        <v>29</v>
      </c>
      <c r="I314" s="4">
        <v>45475</v>
      </c>
      <c r="J314" s="4">
        <v>45295</v>
      </c>
      <c r="K314" s="2" t="s">
        <v>20</v>
      </c>
      <c r="L314" s="2" t="s">
        <v>21</v>
      </c>
      <c r="M314" s="2" t="s">
        <v>30</v>
      </c>
      <c r="N314" s="2" t="s">
        <v>168</v>
      </c>
      <c r="O314" s="2" t="s">
        <v>47</v>
      </c>
      <c r="P314" s="2" t="s">
        <v>863</v>
      </c>
      <c r="Q314" s="9">
        <v>6000</v>
      </c>
    </row>
    <row r="315" spans="2:17" x14ac:dyDescent="0.25">
      <c r="B315" s="1">
        <f t="shared" si="4"/>
        <v>313</v>
      </c>
      <c r="C315" s="1" t="s">
        <v>664</v>
      </c>
      <c r="D315" s="2" t="s">
        <v>665</v>
      </c>
      <c r="E315" s="2" t="s">
        <v>40</v>
      </c>
      <c r="F315" s="2" t="s">
        <v>17</v>
      </c>
      <c r="G315" s="2" t="s">
        <v>71</v>
      </c>
      <c r="H315" s="2" t="s">
        <v>29</v>
      </c>
      <c r="I315" s="4">
        <v>45477</v>
      </c>
      <c r="J315" s="4">
        <v>45297</v>
      </c>
      <c r="K315" s="2" t="s">
        <v>20</v>
      </c>
      <c r="L315" s="2" t="s">
        <v>21</v>
      </c>
      <c r="M315" s="2" t="s">
        <v>111</v>
      </c>
      <c r="N315" s="2" t="s">
        <v>23</v>
      </c>
      <c r="O315" s="2" t="s">
        <v>24</v>
      </c>
      <c r="P315" s="2" t="s">
        <v>863</v>
      </c>
      <c r="Q315" s="9">
        <v>6000</v>
      </c>
    </row>
    <row r="316" spans="2:17" x14ac:dyDescent="0.25">
      <c r="B316" s="1">
        <f t="shared" si="4"/>
        <v>314</v>
      </c>
      <c r="C316" s="1" t="s">
        <v>666</v>
      </c>
      <c r="D316" s="2" t="s">
        <v>667</v>
      </c>
      <c r="E316" s="2" t="s">
        <v>40</v>
      </c>
      <c r="F316" s="2" t="s">
        <v>17</v>
      </c>
      <c r="G316" s="2" t="s">
        <v>71</v>
      </c>
      <c r="H316" s="2" t="s">
        <v>29</v>
      </c>
      <c r="I316" s="4">
        <v>45477</v>
      </c>
      <c r="J316" s="4">
        <v>45297</v>
      </c>
      <c r="K316" s="2" t="s">
        <v>20</v>
      </c>
      <c r="L316" s="2" t="s">
        <v>21</v>
      </c>
      <c r="M316" s="2" t="s">
        <v>22</v>
      </c>
      <c r="N316" s="2" t="s">
        <v>216</v>
      </c>
      <c r="O316" s="2" t="s">
        <v>24</v>
      </c>
      <c r="P316" s="2" t="s">
        <v>863</v>
      </c>
      <c r="Q316" s="9">
        <v>6000</v>
      </c>
    </row>
    <row r="317" spans="2:17" x14ac:dyDescent="0.25">
      <c r="B317" s="1">
        <f t="shared" si="4"/>
        <v>315</v>
      </c>
      <c r="C317" s="1" t="s">
        <v>668</v>
      </c>
      <c r="D317" s="2" t="s">
        <v>669</v>
      </c>
      <c r="E317" s="2" t="s">
        <v>40</v>
      </c>
      <c r="F317" s="2" t="s">
        <v>17</v>
      </c>
      <c r="G317" s="2" t="s">
        <v>71</v>
      </c>
      <c r="H317" s="2" t="s">
        <v>29</v>
      </c>
      <c r="I317" s="4">
        <v>45480</v>
      </c>
      <c r="J317" s="4">
        <v>45300</v>
      </c>
      <c r="K317" s="2" t="s">
        <v>20</v>
      </c>
      <c r="L317" s="2" t="s">
        <v>21</v>
      </c>
      <c r="M317" s="2" t="s">
        <v>111</v>
      </c>
      <c r="N317" s="2" t="s">
        <v>115</v>
      </c>
      <c r="O317" s="2" t="s">
        <v>24</v>
      </c>
      <c r="P317" s="2" t="s">
        <v>863</v>
      </c>
      <c r="Q317" s="9">
        <v>6000</v>
      </c>
    </row>
    <row r="318" spans="2:17" x14ac:dyDescent="0.25">
      <c r="B318" s="1">
        <f t="shared" si="4"/>
        <v>316</v>
      </c>
      <c r="C318" s="1" t="s">
        <v>670</v>
      </c>
      <c r="D318" s="2" t="s">
        <v>671</v>
      </c>
      <c r="E318" s="2" t="s">
        <v>33</v>
      </c>
      <c r="F318" s="2" t="s">
        <v>17</v>
      </c>
      <c r="G318" s="2" t="s">
        <v>71</v>
      </c>
      <c r="H318" s="2" t="s">
        <v>29</v>
      </c>
      <c r="I318" s="4">
        <v>45480</v>
      </c>
      <c r="J318" s="4">
        <v>45300</v>
      </c>
      <c r="K318" s="2" t="s">
        <v>77</v>
      </c>
      <c r="L318" s="2" t="s">
        <v>21</v>
      </c>
      <c r="M318" s="2" t="s">
        <v>111</v>
      </c>
      <c r="N318" s="2" t="s">
        <v>221</v>
      </c>
      <c r="O318" s="2" t="s">
        <v>43</v>
      </c>
      <c r="P318" s="2" t="s">
        <v>863</v>
      </c>
      <c r="Q318" s="9">
        <v>6000</v>
      </c>
    </row>
    <row r="319" spans="2:17" x14ac:dyDescent="0.25">
      <c r="B319" s="1">
        <f t="shared" si="4"/>
        <v>317</v>
      </c>
      <c r="C319" s="1" t="s">
        <v>672</v>
      </c>
      <c r="D319" s="2" t="s">
        <v>673</v>
      </c>
      <c r="E319" s="2" t="s">
        <v>201</v>
      </c>
      <c r="F319" s="2" t="s">
        <v>17</v>
      </c>
      <c r="G319" s="2" t="s">
        <v>71</v>
      </c>
      <c r="H319" s="2" t="s">
        <v>29</v>
      </c>
      <c r="I319" s="4">
        <v>45480</v>
      </c>
      <c r="J319" s="4">
        <v>45300</v>
      </c>
      <c r="K319" s="2" t="s">
        <v>77</v>
      </c>
      <c r="L319" s="2" t="s">
        <v>34</v>
      </c>
      <c r="M319" s="2" t="s">
        <v>35</v>
      </c>
      <c r="N319" s="2" t="s">
        <v>216</v>
      </c>
      <c r="O319" s="2" t="s">
        <v>24</v>
      </c>
      <c r="P319" s="2" t="s">
        <v>863</v>
      </c>
      <c r="Q319" s="9">
        <v>6000</v>
      </c>
    </row>
    <row r="320" spans="2:17" x14ac:dyDescent="0.25">
      <c r="B320" s="1">
        <f t="shared" si="4"/>
        <v>318</v>
      </c>
      <c r="C320" s="1" t="s">
        <v>674</v>
      </c>
      <c r="D320" s="2" t="s">
        <v>675</v>
      </c>
      <c r="E320" s="2" t="s">
        <v>16</v>
      </c>
      <c r="F320" s="2" t="s">
        <v>17</v>
      </c>
      <c r="G320" s="2" t="s">
        <v>71</v>
      </c>
      <c r="H320" s="2" t="s">
        <v>29</v>
      </c>
      <c r="I320" s="4">
        <v>45480</v>
      </c>
      <c r="J320" s="4">
        <v>45300</v>
      </c>
      <c r="K320" s="2" t="s">
        <v>77</v>
      </c>
      <c r="L320" s="2" t="s">
        <v>21</v>
      </c>
      <c r="M320" s="2" t="s">
        <v>35</v>
      </c>
      <c r="N320" s="2" t="s">
        <v>216</v>
      </c>
      <c r="O320" s="2" t="s">
        <v>24</v>
      </c>
      <c r="P320" s="2" t="s">
        <v>863</v>
      </c>
      <c r="Q320" s="9">
        <v>6000</v>
      </c>
    </row>
    <row r="321" spans="2:17" x14ac:dyDescent="0.25">
      <c r="B321" s="1">
        <f t="shared" si="4"/>
        <v>319</v>
      </c>
      <c r="C321" s="1" t="s">
        <v>676</v>
      </c>
      <c r="D321" s="2" t="s">
        <v>677</v>
      </c>
      <c r="E321" s="2" t="s">
        <v>40</v>
      </c>
      <c r="F321" s="2" t="s">
        <v>17</v>
      </c>
      <c r="G321" s="2" t="s">
        <v>71</v>
      </c>
      <c r="H321" s="2" t="s">
        <v>29</v>
      </c>
      <c r="I321" s="4">
        <v>45480</v>
      </c>
      <c r="J321" s="4">
        <v>45300</v>
      </c>
      <c r="K321" s="2" t="s">
        <v>77</v>
      </c>
      <c r="L321" s="2" t="s">
        <v>21</v>
      </c>
      <c r="M321" s="2" t="s">
        <v>111</v>
      </c>
      <c r="N321" s="2" t="s">
        <v>216</v>
      </c>
      <c r="O321" s="2" t="s">
        <v>24</v>
      </c>
      <c r="P321" s="2" t="s">
        <v>863</v>
      </c>
      <c r="Q321" s="9">
        <v>6000</v>
      </c>
    </row>
    <row r="322" spans="2:17" x14ac:dyDescent="0.25">
      <c r="B322" s="1">
        <f t="shared" si="4"/>
        <v>320</v>
      </c>
      <c r="C322" s="1" t="s">
        <v>678</v>
      </c>
      <c r="D322" s="2" t="s">
        <v>679</v>
      </c>
      <c r="E322" s="2" t="s">
        <v>16</v>
      </c>
      <c r="F322" s="2" t="s">
        <v>17</v>
      </c>
      <c r="G322" s="2" t="s">
        <v>71</v>
      </c>
      <c r="H322" s="2" t="s">
        <v>29</v>
      </c>
      <c r="I322" s="4">
        <v>45481</v>
      </c>
      <c r="J322" s="4">
        <v>45301</v>
      </c>
      <c r="K322" s="2" t="s">
        <v>20</v>
      </c>
      <c r="L322" s="2" t="s">
        <v>21</v>
      </c>
      <c r="M322" s="2" t="s">
        <v>22</v>
      </c>
      <c r="N322" s="2" t="s">
        <v>221</v>
      </c>
      <c r="O322" s="2" t="s">
        <v>43</v>
      </c>
      <c r="P322" s="2" t="s">
        <v>863</v>
      </c>
      <c r="Q322" s="9">
        <v>6000</v>
      </c>
    </row>
    <row r="323" spans="2:17" x14ac:dyDescent="0.25">
      <c r="B323" s="1">
        <f t="shared" ref="B323:B386" si="5">ROW(B321)</f>
        <v>321</v>
      </c>
      <c r="C323" s="1" t="s">
        <v>680</v>
      </c>
      <c r="D323" s="2" t="s">
        <v>681</v>
      </c>
      <c r="E323" s="2" t="s">
        <v>16</v>
      </c>
      <c r="F323" s="2" t="s">
        <v>17</v>
      </c>
      <c r="G323" s="2" t="s">
        <v>71</v>
      </c>
      <c r="H323" s="2" t="s">
        <v>29</v>
      </c>
      <c r="I323" s="4">
        <v>45481</v>
      </c>
      <c r="J323" s="4">
        <v>45301</v>
      </c>
      <c r="K323" s="2" t="s">
        <v>77</v>
      </c>
      <c r="L323" s="2" t="s">
        <v>21</v>
      </c>
      <c r="M323" s="2" t="s">
        <v>22</v>
      </c>
      <c r="N323" s="2" t="s">
        <v>221</v>
      </c>
      <c r="O323" s="2" t="s">
        <v>43</v>
      </c>
      <c r="P323" s="2" t="s">
        <v>863</v>
      </c>
      <c r="Q323" s="9">
        <v>6000</v>
      </c>
    </row>
    <row r="324" spans="2:17" x14ac:dyDescent="0.25">
      <c r="B324" s="1">
        <f t="shared" si="5"/>
        <v>322</v>
      </c>
      <c r="C324" s="1" t="s">
        <v>682</v>
      </c>
      <c r="D324" s="2" t="s">
        <v>683</v>
      </c>
      <c r="E324" s="2" t="s">
        <v>40</v>
      </c>
      <c r="F324" s="2" t="s">
        <v>17</v>
      </c>
      <c r="G324" s="2" t="s">
        <v>71</v>
      </c>
      <c r="H324" s="2" t="s">
        <v>29</v>
      </c>
      <c r="I324" s="4">
        <v>45481</v>
      </c>
      <c r="J324" s="4">
        <v>45301</v>
      </c>
      <c r="K324" s="2" t="s">
        <v>77</v>
      </c>
      <c r="L324" s="2" t="s">
        <v>21</v>
      </c>
      <c r="M324" s="2" t="s">
        <v>111</v>
      </c>
      <c r="N324" s="2" t="s">
        <v>684</v>
      </c>
      <c r="O324" s="2" t="s">
        <v>98</v>
      </c>
      <c r="P324" s="2" t="s">
        <v>863</v>
      </c>
      <c r="Q324" s="9">
        <v>6000</v>
      </c>
    </row>
    <row r="325" spans="2:17" x14ac:dyDescent="0.25">
      <c r="B325" s="1">
        <f t="shared" si="5"/>
        <v>323</v>
      </c>
      <c r="C325" s="1" t="s">
        <v>685</v>
      </c>
      <c r="D325" s="2" t="s">
        <v>329</v>
      </c>
      <c r="E325" s="2" t="s">
        <v>33</v>
      </c>
      <c r="F325" s="2" t="s">
        <v>17</v>
      </c>
      <c r="G325" s="2" t="s">
        <v>71</v>
      </c>
      <c r="H325" s="2" t="s">
        <v>29</v>
      </c>
      <c r="I325" s="4">
        <v>45481</v>
      </c>
      <c r="J325" s="4">
        <v>45301</v>
      </c>
      <c r="K325" s="2" t="s">
        <v>20</v>
      </c>
      <c r="L325" s="2" t="s">
        <v>21</v>
      </c>
      <c r="M325" s="2" t="s">
        <v>22</v>
      </c>
      <c r="N325" s="2" t="s">
        <v>92</v>
      </c>
      <c r="O325" s="2" t="s">
        <v>43</v>
      </c>
      <c r="P325" s="2" t="s">
        <v>863</v>
      </c>
      <c r="Q325" s="9">
        <v>6000</v>
      </c>
    </row>
    <row r="326" spans="2:17" x14ac:dyDescent="0.25">
      <c r="B326" s="1">
        <f t="shared" si="5"/>
        <v>324</v>
      </c>
      <c r="C326" s="1" t="s">
        <v>686</v>
      </c>
      <c r="D326" s="2" t="s">
        <v>56</v>
      </c>
      <c r="E326" s="2" t="s">
        <v>33</v>
      </c>
      <c r="F326" s="2" t="s">
        <v>17</v>
      </c>
      <c r="G326" s="2" t="s">
        <v>71</v>
      </c>
      <c r="H326" s="2" t="s">
        <v>29</v>
      </c>
      <c r="I326" s="4">
        <v>45481</v>
      </c>
      <c r="J326" s="4">
        <v>45301</v>
      </c>
      <c r="K326" s="2" t="s">
        <v>20</v>
      </c>
      <c r="L326" s="2" t="s">
        <v>21</v>
      </c>
      <c r="M326" s="2" t="s">
        <v>35</v>
      </c>
      <c r="N326" s="2" t="s">
        <v>92</v>
      </c>
      <c r="O326" s="2" t="s">
        <v>43</v>
      </c>
      <c r="P326" s="2" t="s">
        <v>863</v>
      </c>
      <c r="Q326" s="9">
        <v>6000</v>
      </c>
    </row>
    <row r="327" spans="2:17" x14ac:dyDescent="0.25">
      <c r="B327" s="1">
        <f t="shared" si="5"/>
        <v>325</v>
      </c>
      <c r="C327" s="1" t="s">
        <v>687</v>
      </c>
      <c r="D327" s="2" t="s">
        <v>688</v>
      </c>
      <c r="E327" s="2" t="s">
        <v>33</v>
      </c>
      <c r="F327" s="2" t="s">
        <v>17</v>
      </c>
      <c r="G327" s="2" t="s">
        <v>71</v>
      </c>
      <c r="H327" s="2" t="s">
        <v>29</v>
      </c>
      <c r="I327" s="4">
        <v>45481</v>
      </c>
      <c r="J327" s="4">
        <v>45301</v>
      </c>
      <c r="K327" s="2" t="s">
        <v>77</v>
      </c>
      <c r="L327" s="2" t="s">
        <v>21</v>
      </c>
      <c r="M327" s="2" t="s">
        <v>111</v>
      </c>
      <c r="N327" s="2" t="s">
        <v>216</v>
      </c>
      <c r="O327" s="2" t="s">
        <v>24</v>
      </c>
      <c r="P327" s="2" t="s">
        <v>863</v>
      </c>
      <c r="Q327" s="9">
        <v>6000</v>
      </c>
    </row>
    <row r="328" spans="2:17" x14ac:dyDescent="0.25">
      <c r="B328" s="1">
        <f t="shared" si="5"/>
        <v>326</v>
      </c>
      <c r="C328" s="1" t="s">
        <v>689</v>
      </c>
      <c r="D328" s="2" t="s">
        <v>690</v>
      </c>
      <c r="E328" s="2" t="s">
        <v>33</v>
      </c>
      <c r="F328" s="2" t="s">
        <v>17</v>
      </c>
      <c r="G328" s="2" t="s">
        <v>71</v>
      </c>
      <c r="H328" s="2" t="s">
        <v>29</v>
      </c>
      <c r="I328" s="4">
        <v>45481</v>
      </c>
      <c r="J328" s="4">
        <v>45301</v>
      </c>
      <c r="K328" s="2" t="s">
        <v>20</v>
      </c>
      <c r="L328" s="2" t="s">
        <v>21</v>
      </c>
      <c r="M328" s="2" t="s">
        <v>35</v>
      </c>
      <c r="N328" s="2" t="s">
        <v>691</v>
      </c>
      <c r="O328" s="2" t="s">
        <v>43</v>
      </c>
      <c r="P328" s="2" t="s">
        <v>863</v>
      </c>
      <c r="Q328" s="9">
        <v>6000</v>
      </c>
    </row>
    <row r="329" spans="2:17" x14ac:dyDescent="0.25">
      <c r="B329" s="1">
        <f t="shared" si="5"/>
        <v>327</v>
      </c>
      <c r="C329" s="1" t="s">
        <v>692</v>
      </c>
      <c r="D329" s="2" t="s">
        <v>693</v>
      </c>
      <c r="E329" s="2" t="s">
        <v>40</v>
      </c>
      <c r="F329" s="2" t="s">
        <v>17</v>
      </c>
      <c r="G329" s="2" t="s">
        <v>71</v>
      </c>
      <c r="H329" s="2" t="s">
        <v>29</v>
      </c>
      <c r="I329" s="4">
        <v>45481</v>
      </c>
      <c r="J329" s="4">
        <v>45301</v>
      </c>
      <c r="K329" s="2" t="s">
        <v>20</v>
      </c>
      <c r="L329" s="2" t="s">
        <v>21</v>
      </c>
      <c r="M329" s="2" t="s">
        <v>35</v>
      </c>
      <c r="N329" s="2" t="s">
        <v>23</v>
      </c>
      <c r="O329" s="2" t="s">
        <v>24</v>
      </c>
      <c r="P329" s="2" t="s">
        <v>863</v>
      </c>
      <c r="Q329" s="9">
        <v>6000</v>
      </c>
    </row>
    <row r="330" spans="2:17" x14ac:dyDescent="0.25">
      <c r="B330" s="1">
        <f t="shared" si="5"/>
        <v>328</v>
      </c>
      <c r="C330" s="1" t="s">
        <v>694</v>
      </c>
      <c r="D330" s="2" t="s">
        <v>451</v>
      </c>
      <c r="E330" s="2" t="s">
        <v>40</v>
      </c>
      <c r="F330" s="2" t="s">
        <v>17</v>
      </c>
      <c r="G330" s="2" t="s">
        <v>71</v>
      </c>
      <c r="H330" s="2" t="s">
        <v>29</v>
      </c>
      <c r="I330" s="4">
        <v>45481</v>
      </c>
      <c r="J330" s="4">
        <v>45301</v>
      </c>
      <c r="K330" s="2" t="s">
        <v>20</v>
      </c>
      <c r="L330" s="2" t="s">
        <v>21</v>
      </c>
      <c r="M330" s="2" t="s">
        <v>22</v>
      </c>
      <c r="N330" s="2" t="s">
        <v>23</v>
      </c>
      <c r="O330" s="2" t="s">
        <v>24</v>
      </c>
      <c r="P330" s="2" t="s">
        <v>863</v>
      </c>
      <c r="Q330" s="9">
        <v>6000</v>
      </c>
    </row>
    <row r="331" spans="2:17" x14ac:dyDescent="0.25">
      <c r="B331" s="1">
        <f t="shared" si="5"/>
        <v>329</v>
      </c>
      <c r="C331" s="1" t="s">
        <v>695</v>
      </c>
      <c r="D331" s="2" t="s">
        <v>696</v>
      </c>
      <c r="E331" s="2" t="s">
        <v>40</v>
      </c>
      <c r="F331" s="2" t="s">
        <v>17</v>
      </c>
      <c r="G331" s="2" t="s">
        <v>71</v>
      </c>
      <c r="H331" s="2" t="s">
        <v>29</v>
      </c>
      <c r="I331" s="4">
        <v>45481</v>
      </c>
      <c r="J331" s="4">
        <v>45301</v>
      </c>
      <c r="K331" s="2" t="s">
        <v>20</v>
      </c>
      <c r="L331" s="2" t="s">
        <v>21</v>
      </c>
      <c r="M331" s="2" t="s">
        <v>22</v>
      </c>
      <c r="N331" s="2" t="s">
        <v>23</v>
      </c>
      <c r="O331" s="2" t="s">
        <v>24</v>
      </c>
      <c r="P331" s="2" t="s">
        <v>863</v>
      </c>
      <c r="Q331" s="9">
        <v>6000</v>
      </c>
    </row>
    <row r="332" spans="2:17" x14ac:dyDescent="0.25">
      <c r="B332" s="1">
        <f t="shared" si="5"/>
        <v>330</v>
      </c>
      <c r="C332" s="1" t="s">
        <v>697</v>
      </c>
      <c r="D332" s="2" t="s">
        <v>698</v>
      </c>
      <c r="E332" s="2" t="s">
        <v>33</v>
      </c>
      <c r="F332" s="2" t="s">
        <v>17</v>
      </c>
      <c r="G332" s="2" t="s">
        <v>71</v>
      </c>
      <c r="H332" s="2" t="s">
        <v>29</v>
      </c>
      <c r="I332" s="4">
        <v>45481</v>
      </c>
      <c r="J332" s="4">
        <v>45301</v>
      </c>
      <c r="K332" s="2" t="s">
        <v>77</v>
      </c>
      <c r="L332" s="2" t="s">
        <v>21</v>
      </c>
      <c r="M332" s="2" t="s">
        <v>111</v>
      </c>
      <c r="N332" s="2" t="s">
        <v>23</v>
      </c>
      <c r="O332" s="2" t="s">
        <v>24</v>
      </c>
      <c r="P332" s="2" t="s">
        <v>863</v>
      </c>
      <c r="Q332" s="9">
        <v>6000</v>
      </c>
    </row>
    <row r="333" spans="2:17" x14ac:dyDescent="0.25">
      <c r="B333" s="1">
        <f t="shared" si="5"/>
        <v>331</v>
      </c>
      <c r="C333" s="1" t="s">
        <v>699</v>
      </c>
      <c r="D333" s="2" t="s">
        <v>89</v>
      </c>
      <c r="E333" s="2" t="s">
        <v>201</v>
      </c>
      <c r="F333" s="2" t="s">
        <v>165</v>
      </c>
      <c r="G333" s="2" t="s">
        <v>28</v>
      </c>
      <c r="H333" s="2" t="s">
        <v>29</v>
      </c>
      <c r="I333" s="4">
        <v>45482</v>
      </c>
      <c r="J333" s="4">
        <v>45302</v>
      </c>
      <c r="K333" s="2" t="s">
        <v>20</v>
      </c>
      <c r="L333" s="2" t="s">
        <v>34</v>
      </c>
      <c r="M333" s="2" t="s">
        <v>54</v>
      </c>
      <c r="N333" s="2" t="s">
        <v>23</v>
      </c>
      <c r="O333" s="2" t="s">
        <v>24</v>
      </c>
      <c r="P333" s="2" t="s">
        <v>863</v>
      </c>
      <c r="Q333" s="9">
        <v>6000</v>
      </c>
    </row>
    <row r="334" spans="2:17" x14ac:dyDescent="0.25">
      <c r="B334" s="1">
        <f t="shared" si="5"/>
        <v>332</v>
      </c>
      <c r="C334" s="1" t="s">
        <v>700</v>
      </c>
      <c r="D334" s="2" t="s">
        <v>701</v>
      </c>
      <c r="E334" s="2" t="s">
        <v>16</v>
      </c>
      <c r="F334" s="2" t="s">
        <v>17</v>
      </c>
      <c r="G334" s="2" t="s">
        <v>71</v>
      </c>
      <c r="H334" s="2" t="s">
        <v>29</v>
      </c>
      <c r="I334" s="4">
        <v>45482</v>
      </c>
      <c r="J334" s="4">
        <v>45302</v>
      </c>
      <c r="K334" s="2" t="s">
        <v>20</v>
      </c>
      <c r="L334" s="2" t="s">
        <v>21</v>
      </c>
      <c r="M334" s="2" t="s">
        <v>22</v>
      </c>
      <c r="N334" s="2" t="s">
        <v>187</v>
      </c>
      <c r="O334" s="2" t="s">
        <v>37</v>
      </c>
      <c r="P334" s="2" t="s">
        <v>863</v>
      </c>
      <c r="Q334" s="9">
        <v>6000</v>
      </c>
    </row>
    <row r="335" spans="2:17" x14ac:dyDescent="0.25">
      <c r="B335" s="1">
        <f t="shared" si="5"/>
        <v>333</v>
      </c>
      <c r="C335" s="1" t="s">
        <v>702</v>
      </c>
      <c r="D335" s="2" t="s">
        <v>703</v>
      </c>
      <c r="E335" s="2" t="s">
        <v>40</v>
      </c>
      <c r="F335" s="2" t="s">
        <v>17</v>
      </c>
      <c r="G335" s="2" t="s">
        <v>71</v>
      </c>
      <c r="H335" s="2" t="s">
        <v>29</v>
      </c>
      <c r="I335" s="4">
        <v>45482</v>
      </c>
      <c r="J335" s="4">
        <v>45302</v>
      </c>
      <c r="K335" s="2" t="s">
        <v>20</v>
      </c>
      <c r="L335" s="2" t="s">
        <v>21</v>
      </c>
      <c r="M335" s="2" t="s">
        <v>22</v>
      </c>
      <c r="N335" s="2" t="s">
        <v>23</v>
      </c>
      <c r="O335" s="2" t="s">
        <v>24</v>
      </c>
      <c r="P335" s="2" t="s">
        <v>863</v>
      </c>
      <c r="Q335" s="9">
        <v>6000</v>
      </c>
    </row>
    <row r="336" spans="2:17" x14ac:dyDescent="0.25">
      <c r="B336" s="1">
        <f t="shared" si="5"/>
        <v>334</v>
      </c>
      <c r="C336" s="1" t="s">
        <v>704</v>
      </c>
      <c r="D336" s="2" t="s">
        <v>705</v>
      </c>
      <c r="E336" s="2" t="s">
        <v>16</v>
      </c>
      <c r="F336" s="2" t="s">
        <v>17</v>
      </c>
      <c r="G336" s="2" t="s">
        <v>71</v>
      </c>
      <c r="H336" s="2" t="s">
        <v>29</v>
      </c>
      <c r="I336" s="4">
        <v>45482</v>
      </c>
      <c r="J336" s="4">
        <v>45302</v>
      </c>
      <c r="K336" s="2" t="s">
        <v>77</v>
      </c>
      <c r="L336" s="2" t="s">
        <v>34</v>
      </c>
      <c r="M336" s="2" t="s">
        <v>35</v>
      </c>
      <c r="N336" s="2" t="s">
        <v>23</v>
      </c>
      <c r="O336" s="2" t="s">
        <v>24</v>
      </c>
      <c r="P336" s="2" t="s">
        <v>863</v>
      </c>
      <c r="Q336" s="9">
        <v>6000</v>
      </c>
    </row>
    <row r="337" spans="2:17" x14ac:dyDescent="0.25">
      <c r="B337" s="1">
        <f t="shared" si="5"/>
        <v>335</v>
      </c>
      <c r="C337" s="1" t="s">
        <v>706</v>
      </c>
      <c r="D337" s="2" t="s">
        <v>707</v>
      </c>
      <c r="E337" s="2" t="s">
        <v>33</v>
      </c>
      <c r="F337" s="2" t="s">
        <v>17</v>
      </c>
      <c r="G337" s="2" t="s">
        <v>71</v>
      </c>
      <c r="H337" s="2" t="s">
        <v>29</v>
      </c>
      <c r="I337" s="4">
        <v>45482</v>
      </c>
      <c r="J337" s="4">
        <v>45302</v>
      </c>
      <c r="K337" s="2" t="s">
        <v>77</v>
      </c>
      <c r="L337" s="2" t="s">
        <v>21</v>
      </c>
      <c r="M337" s="2" t="s">
        <v>22</v>
      </c>
      <c r="N337" s="2" t="s">
        <v>187</v>
      </c>
      <c r="O337" s="2" t="s">
        <v>37</v>
      </c>
      <c r="P337" s="2" t="s">
        <v>863</v>
      </c>
      <c r="Q337" s="9">
        <v>6000</v>
      </c>
    </row>
    <row r="338" spans="2:17" x14ac:dyDescent="0.25">
      <c r="B338" s="1">
        <f t="shared" si="5"/>
        <v>336</v>
      </c>
      <c r="C338" s="1" t="s">
        <v>708</v>
      </c>
      <c r="D338" s="2" t="s">
        <v>709</v>
      </c>
      <c r="E338" s="2" t="s">
        <v>33</v>
      </c>
      <c r="F338" s="2" t="s">
        <v>17</v>
      </c>
      <c r="G338" s="2" t="s">
        <v>71</v>
      </c>
      <c r="H338" s="2" t="s">
        <v>29</v>
      </c>
      <c r="I338" s="4">
        <v>45482</v>
      </c>
      <c r="J338" s="4">
        <v>45302</v>
      </c>
      <c r="K338" s="2" t="s">
        <v>77</v>
      </c>
      <c r="L338" s="2" t="s">
        <v>21</v>
      </c>
      <c r="M338" s="2" t="s">
        <v>30</v>
      </c>
      <c r="N338" s="2" t="s">
        <v>221</v>
      </c>
      <c r="O338" s="2" t="s">
        <v>43</v>
      </c>
      <c r="P338" s="2" t="s">
        <v>863</v>
      </c>
      <c r="Q338" s="9">
        <v>6000</v>
      </c>
    </row>
    <row r="339" spans="2:17" x14ac:dyDescent="0.25">
      <c r="B339" s="1">
        <f t="shared" si="5"/>
        <v>337</v>
      </c>
      <c r="C339" s="1" t="s">
        <v>710</v>
      </c>
      <c r="D339" s="2" t="s">
        <v>711</v>
      </c>
      <c r="E339" s="2" t="s">
        <v>33</v>
      </c>
      <c r="F339" s="2" t="s">
        <v>17</v>
      </c>
      <c r="G339" s="2" t="s">
        <v>71</v>
      </c>
      <c r="H339" s="2" t="s">
        <v>29</v>
      </c>
      <c r="I339" s="4">
        <v>45483</v>
      </c>
      <c r="J339" s="4">
        <v>45303</v>
      </c>
      <c r="K339" s="2" t="s">
        <v>77</v>
      </c>
      <c r="L339" s="2" t="s">
        <v>21</v>
      </c>
      <c r="M339" s="2" t="s">
        <v>22</v>
      </c>
      <c r="N339" s="2" t="s">
        <v>23</v>
      </c>
      <c r="O339" s="2" t="s">
        <v>24</v>
      </c>
      <c r="P339" s="2" t="s">
        <v>863</v>
      </c>
      <c r="Q339" s="9">
        <v>6000</v>
      </c>
    </row>
    <row r="340" spans="2:17" x14ac:dyDescent="0.25">
      <c r="B340" s="1">
        <f t="shared" si="5"/>
        <v>338</v>
      </c>
      <c r="C340" s="1" t="s">
        <v>712</v>
      </c>
      <c r="D340" s="2" t="s">
        <v>713</v>
      </c>
      <c r="E340" s="2" t="s">
        <v>33</v>
      </c>
      <c r="F340" s="2" t="s">
        <v>17</v>
      </c>
      <c r="G340" s="2" t="s">
        <v>71</v>
      </c>
      <c r="H340" s="2" t="s">
        <v>29</v>
      </c>
      <c r="I340" s="4">
        <v>45483</v>
      </c>
      <c r="J340" s="4">
        <v>45303</v>
      </c>
      <c r="K340" s="2" t="s">
        <v>20</v>
      </c>
      <c r="L340" s="2" t="s">
        <v>21</v>
      </c>
      <c r="M340" s="2" t="s">
        <v>30</v>
      </c>
      <c r="N340" s="2" t="s">
        <v>23</v>
      </c>
      <c r="O340" s="2" t="s">
        <v>24</v>
      </c>
      <c r="P340" s="2" t="s">
        <v>863</v>
      </c>
      <c r="Q340" s="9">
        <v>6000</v>
      </c>
    </row>
    <row r="341" spans="2:17" x14ac:dyDescent="0.25">
      <c r="B341" s="1">
        <f t="shared" si="5"/>
        <v>339</v>
      </c>
      <c r="C341" s="1" t="s">
        <v>714</v>
      </c>
      <c r="D341" s="2" t="s">
        <v>715</v>
      </c>
      <c r="E341" s="2" t="s">
        <v>201</v>
      </c>
      <c r="F341" s="2" t="s">
        <v>195</v>
      </c>
      <c r="G341" s="2" t="s">
        <v>71</v>
      </c>
      <c r="H341" s="2" t="s">
        <v>29</v>
      </c>
      <c r="I341" s="4">
        <v>45483</v>
      </c>
      <c r="J341" s="4">
        <v>45303</v>
      </c>
      <c r="K341" s="2" t="s">
        <v>20</v>
      </c>
      <c r="L341" s="2" t="s">
        <v>21</v>
      </c>
      <c r="M341" s="2" t="s">
        <v>35</v>
      </c>
      <c r="N341" s="2" t="s">
        <v>23</v>
      </c>
      <c r="O341" s="2" t="s">
        <v>24</v>
      </c>
      <c r="P341" s="2" t="s">
        <v>863</v>
      </c>
      <c r="Q341" s="9">
        <v>6000</v>
      </c>
    </row>
    <row r="342" spans="2:17" x14ac:dyDescent="0.25">
      <c r="B342" s="1">
        <f t="shared" si="5"/>
        <v>340</v>
      </c>
      <c r="C342" s="1" t="s">
        <v>716</v>
      </c>
      <c r="D342" s="2" t="s">
        <v>717</v>
      </c>
      <c r="E342" s="2" t="s">
        <v>40</v>
      </c>
      <c r="F342" s="2" t="s">
        <v>17</v>
      </c>
      <c r="G342" s="2" t="s">
        <v>71</v>
      </c>
      <c r="H342" s="2" t="s">
        <v>29</v>
      </c>
      <c r="I342" s="4">
        <v>45483</v>
      </c>
      <c r="J342" s="4">
        <v>45303</v>
      </c>
      <c r="K342" s="2" t="s">
        <v>20</v>
      </c>
      <c r="L342" s="2" t="s">
        <v>21</v>
      </c>
      <c r="M342" s="2" t="s">
        <v>30</v>
      </c>
      <c r="N342" s="2" t="s">
        <v>23</v>
      </c>
      <c r="O342" s="2" t="s">
        <v>24</v>
      </c>
      <c r="P342" s="2" t="s">
        <v>863</v>
      </c>
      <c r="Q342" s="9">
        <v>6000</v>
      </c>
    </row>
    <row r="343" spans="2:17" x14ac:dyDescent="0.25">
      <c r="B343" s="1">
        <f t="shared" si="5"/>
        <v>341</v>
      </c>
      <c r="C343" s="1" t="s">
        <v>718</v>
      </c>
      <c r="D343" s="2" t="s">
        <v>719</v>
      </c>
      <c r="E343" s="2" t="s">
        <v>16</v>
      </c>
      <c r="F343" s="2" t="s">
        <v>17</v>
      </c>
      <c r="G343" s="2" t="s">
        <v>71</v>
      </c>
      <c r="H343" s="2" t="s">
        <v>29</v>
      </c>
      <c r="I343" s="4">
        <v>45484</v>
      </c>
      <c r="J343" s="4">
        <v>45304</v>
      </c>
      <c r="K343" s="2" t="s">
        <v>77</v>
      </c>
      <c r="L343" s="2" t="s">
        <v>21</v>
      </c>
      <c r="M343" s="2" t="s">
        <v>22</v>
      </c>
      <c r="N343" s="2" t="s">
        <v>23</v>
      </c>
      <c r="O343" s="2" t="s">
        <v>24</v>
      </c>
      <c r="P343" s="2" t="s">
        <v>863</v>
      </c>
      <c r="Q343" s="9">
        <v>6000</v>
      </c>
    </row>
    <row r="344" spans="2:17" x14ac:dyDescent="0.25">
      <c r="B344" s="1">
        <f t="shared" si="5"/>
        <v>342</v>
      </c>
      <c r="C344" s="1" t="s">
        <v>720</v>
      </c>
      <c r="D344" s="2" t="s">
        <v>721</v>
      </c>
      <c r="E344" s="2" t="s">
        <v>16</v>
      </c>
      <c r="F344" s="2" t="s">
        <v>17</v>
      </c>
      <c r="G344" s="2" t="s">
        <v>71</v>
      </c>
      <c r="H344" s="2" t="s">
        <v>29</v>
      </c>
      <c r="I344" s="4">
        <v>45484</v>
      </c>
      <c r="J344" s="4">
        <v>45304</v>
      </c>
      <c r="K344" s="2" t="s">
        <v>20</v>
      </c>
      <c r="L344" s="2" t="s">
        <v>21</v>
      </c>
      <c r="M344" s="2" t="s">
        <v>30</v>
      </c>
      <c r="N344" s="2" t="s">
        <v>23</v>
      </c>
      <c r="O344" s="2" t="s">
        <v>24</v>
      </c>
      <c r="P344" s="2" t="s">
        <v>863</v>
      </c>
      <c r="Q344" s="9">
        <v>6000</v>
      </c>
    </row>
    <row r="345" spans="2:17" x14ac:dyDescent="0.25">
      <c r="B345" s="1">
        <f t="shared" si="5"/>
        <v>343</v>
      </c>
      <c r="C345" s="1" t="s">
        <v>722</v>
      </c>
      <c r="D345" s="2" t="s">
        <v>723</v>
      </c>
      <c r="E345" s="2" t="s">
        <v>201</v>
      </c>
      <c r="F345" s="2" t="s">
        <v>17</v>
      </c>
      <c r="G345" s="2" t="s">
        <v>71</v>
      </c>
      <c r="H345" s="2" t="s">
        <v>29</v>
      </c>
      <c r="I345" s="4">
        <v>45484</v>
      </c>
      <c r="J345" s="4">
        <v>45304</v>
      </c>
      <c r="K345" s="2" t="s">
        <v>20</v>
      </c>
      <c r="L345" s="2" t="s">
        <v>21</v>
      </c>
      <c r="M345" s="2" t="s">
        <v>35</v>
      </c>
      <c r="N345" s="2" t="s">
        <v>23</v>
      </c>
      <c r="O345" s="2" t="s">
        <v>24</v>
      </c>
      <c r="P345" s="2" t="s">
        <v>863</v>
      </c>
      <c r="Q345" s="9">
        <v>6000</v>
      </c>
    </row>
    <row r="346" spans="2:17" x14ac:dyDescent="0.25">
      <c r="B346" s="1">
        <f t="shared" si="5"/>
        <v>344</v>
      </c>
      <c r="C346" s="1" t="s">
        <v>724</v>
      </c>
      <c r="D346" s="2" t="s">
        <v>725</v>
      </c>
      <c r="E346" s="2" t="s">
        <v>40</v>
      </c>
      <c r="F346" s="2" t="s">
        <v>17</v>
      </c>
      <c r="G346" s="2" t="s">
        <v>71</v>
      </c>
      <c r="H346" s="2" t="s">
        <v>29</v>
      </c>
      <c r="I346" s="4">
        <v>45484</v>
      </c>
      <c r="J346" s="4">
        <v>45304</v>
      </c>
      <c r="K346" s="2" t="s">
        <v>20</v>
      </c>
      <c r="L346" s="2" t="s">
        <v>21</v>
      </c>
      <c r="M346" s="2" t="s">
        <v>22</v>
      </c>
      <c r="N346" s="2" t="s">
        <v>23</v>
      </c>
      <c r="O346" s="2" t="s">
        <v>24</v>
      </c>
      <c r="P346" s="2" t="s">
        <v>863</v>
      </c>
      <c r="Q346" s="9">
        <v>6000</v>
      </c>
    </row>
    <row r="347" spans="2:17" x14ac:dyDescent="0.25">
      <c r="B347" s="1">
        <f t="shared" si="5"/>
        <v>345</v>
      </c>
      <c r="C347" s="1" t="s">
        <v>726</v>
      </c>
      <c r="D347" s="2" t="s">
        <v>727</v>
      </c>
      <c r="E347" s="2" t="s">
        <v>33</v>
      </c>
      <c r="F347" s="2" t="s">
        <v>17</v>
      </c>
      <c r="G347" s="2" t="s">
        <v>71</v>
      </c>
      <c r="H347" s="2" t="s">
        <v>29</v>
      </c>
      <c r="I347" s="4">
        <v>45484</v>
      </c>
      <c r="J347" s="4">
        <v>45304</v>
      </c>
      <c r="K347" s="2" t="s">
        <v>20</v>
      </c>
      <c r="L347" s="2" t="s">
        <v>21</v>
      </c>
      <c r="M347" s="2" t="s">
        <v>35</v>
      </c>
      <c r="N347" s="2" t="s">
        <v>221</v>
      </c>
      <c r="O347" s="2" t="s">
        <v>43</v>
      </c>
      <c r="P347" s="2" t="s">
        <v>863</v>
      </c>
      <c r="Q347" s="9">
        <v>6000</v>
      </c>
    </row>
    <row r="348" spans="2:17" x14ac:dyDescent="0.25">
      <c r="B348" s="1">
        <f t="shared" si="5"/>
        <v>346</v>
      </c>
      <c r="C348" s="1" t="s">
        <v>728</v>
      </c>
      <c r="D348" s="2" t="s">
        <v>729</v>
      </c>
      <c r="E348" s="2" t="s">
        <v>40</v>
      </c>
      <c r="F348" s="2" t="s">
        <v>17</v>
      </c>
      <c r="G348" s="2" t="s">
        <v>71</v>
      </c>
      <c r="H348" s="2" t="s">
        <v>29</v>
      </c>
      <c r="I348" s="4">
        <v>45484</v>
      </c>
      <c r="J348" s="4">
        <v>45304</v>
      </c>
      <c r="K348" s="2" t="s">
        <v>20</v>
      </c>
      <c r="L348" s="2" t="s">
        <v>21</v>
      </c>
      <c r="M348" s="2" t="s">
        <v>35</v>
      </c>
      <c r="N348" s="2" t="s">
        <v>115</v>
      </c>
      <c r="O348" s="2" t="s">
        <v>24</v>
      </c>
      <c r="P348" s="2" t="s">
        <v>863</v>
      </c>
      <c r="Q348" s="9">
        <v>6000</v>
      </c>
    </row>
    <row r="349" spans="2:17" x14ac:dyDescent="0.25">
      <c r="B349" s="1">
        <f t="shared" si="5"/>
        <v>347</v>
      </c>
      <c r="C349" s="1" t="s">
        <v>730</v>
      </c>
      <c r="D349" s="2" t="s">
        <v>731</v>
      </c>
      <c r="E349" s="2" t="s">
        <v>33</v>
      </c>
      <c r="F349" s="2" t="s">
        <v>17</v>
      </c>
      <c r="G349" s="2" t="s">
        <v>71</v>
      </c>
      <c r="H349" s="2" t="s">
        <v>29</v>
      </c>
      <c r="I349" s="4">
        <v>45484</v>
      </c>
      <c r="J349" s="4">
        <v>45304</v>
      </c>
      <c r="K349" s="2" t="s">
        <v>20</v>
      </c>
      <c r="L349" s="2" t="s">
        <v>21</v>
      </c>
      <c r="M349" s="2" t="s">
        <v>35</v>
      </c>
      <c r="N349" s="2" t="s">
        <v>278</v>
      </c>
      <c r="O349" s="2" t="s">
        <v>279</v>
      </c>
      <c r="P349" s="2" t="s">
        <v>863</v>
      </c>
      <c r="Q349" s="9">
        <v>6000</v>
      </c>
    </row>
    <row r="350" spans="2:17" x14ac:dyDescent="0.25">
      <c r="B350" s="1">
        <f t="shared" si="5"/>
        <v>348</v>
      </c>
      <c r="C350" s="1" t="s">
        <v>732</v>
      </c>
      <c r="D350" s="2" t="s">
        <v>733</v>
      </c>
      <c r="E350" s="2" t="s">
        <v>33</v>
      </c>
      <c r="F350" s="2" t="s">
        <v>17</v>
      </c>
      <c r="G350" s="2" t="s">
        <v>71</v>
      </c>
      <c r="H350" s="2" t="s">
        <v>29</v>
      </c>
      <c r="I350" s="4">
        <v>45485</v>
      </c>
      <c r="J350" s="4">
        <v>45305</v>
      </c>
      <c r="K350" s="2" t="s">
        <v>20</v>
      </c>
      <c r="L350" s="2" t="s">
        <v>21</v>
      </c>
      <c r="M350" s="2" t="s">
        <v>22</v>
      </c>
      <c r="N350" s="2" t="s">
        <v>168</v>
      </c>
      <c r="O350" s="2" t="s">
        <v>47</v>
      </c>
      <c r="P350" s="2" t="s">
        <v>863</v>
      </c>
      <c r="Q350" s="9">
        <v>6000</v>
      </c>
    </row>
    <row r="351" spans="2:17" x14ac:dyDescent="0.25">
      <c r="B351" s="1">
        <f t="shared" si="5"/>
        <v>349</v>
      </c>
      <c r="C351" s="1" t="s">
        <v>734</v>
      </c>
      <c r="D351" s="2" t="s">
        <v>735</v>
      </c>
      <c r="E351" s="2" t="s">
        <v>33</v>
      </c>
      <c r="F351" s="2" t="s">
        <v>17</v>
      </c>
      <c r="G351" s="2" t="s">
        <v>71</v>
      </c>
      <c r="H351" s="2" t="s">
        <v>29</v>
      </c>
      <c r="I351" s="4">
        <v>45487</v>
      </c>
      <c r="J351" s="4">
        <v>45307</v>
      </c>
      <c r="K351" s="2" t="s">
        <v>77</v>
      </c>
      <c r="L351" s="2" t="s">
        <v>34</v>
      </c>
      <c r="M351" s="2" t="s">
        <v>22</v>
      </c>
      <c r="N351" s="2" t="s">
        <v>23</v>
      </c>
      <c r="O351" s="2" t="s">
        <v>24</v>
      </c>
      <c r="P351" s="2" t="s">
        <v>863</v>
      </c>
      <c r="Q351" s="9">
        <v>6000</v>
      </c>
    </row>
    <row r="352" spans="2:17" x14ac:dyDescent="0.25">
      <c r="B352" s="1">
        <f t="shared" si="5"/>
        <v>350</v>
      </c>
      <c r="C352" s="1" t="s">
        <v>736</v>
      </c>
      <c r="D352" s="2" t="s">
        <v>737</v>
      </c>
      <c r="E352" s="2" t="s">
        <v>33</v>
      </c>
      <c r="F352" s="2" t="s">
        <v>17</v>
      </c>
      <c r="G352" s="2" t="s">
        <v>71</v>
      </c>
      <c r="H352" s="2" t="s">
        <v>29</v>
      </c>
      <c r="I352" s="4">
        <v>45488</v>
      </c>
      <c r="J352" s="4">
        <v>45308</v>
      </c>
      <c r="K352" s="2" t="s">
        <v>77</v>
      </c>
      <c r="L352" s="2" t="s">
        <v>21</v>
      </c>
      <c r="M352" s="2" t="s">
        <v>54</v>
      </c>
      <c r="N352" s="2" t="s">
        <v>216</v>
      </c>
      <c r="O352" s="2" t="s">
        <v>24</v>
      </c>
      <c r="P352" s="2" t="s">
        <v>863</v>
      </c>
      <c r="Q352" s="9">
        <v>6000</v>
      </c>
    </row>
    <row r="353" spans="2:17" x14ac:dyDescent="0.25">
      <c r="B353" s="1">
        <f t="shared" si="5"/>
        <v>351</v>
      </c>
      <c r="C353" s="1" t="s">
        <v>738</v>
      </c>
      <c r="D353" s="2" t="s">
        <v>739</v>
      </c>
      <c r="E353" s="2" t="s">
        <v>201</v>
      </c>
      <c r="F353" s="2" t="s">
        <v>17</v>
      </c>
      <c r="G353" s="2" t="s">
        <v>71</v>
      </c>
      <c r="H353" s="2" t="s">
        <v>29</v>
      </c>
      <c r="I353" s="4">
        <v>45488</v>
      </c>
      <c r="J353" s="4">
        <v>45308</v>
      </c>
      <c r="K353" s="2" t="s">
        <v>20</v>
      </c>
      <c r="L353" s="2" t="s">
        <v>21</v>
      </c>
      <c r="M353" s="2" t="s">
        <v>22</v>
      </c>
      <c r="N353" s="2" t="s">
        <v>23</v>
      </c>
      <c r="O353" s="2" t="s">
        <v>24</v>
      </c>
      <c r="P353" s="2" t="s">
        <v>863</v>
      </c>
      <c r="Q353" s="9">
        <v>6000</v>
      </c>
    </row>
    <row r="354" spans="2:17" x14ac:dyDescent="0.25">
      <c r="B354" s="1">
        <f t="shared" si="5"/>
        <v>352</v>
      </c>
      <c r="C354" s="1" t="s">
        <v>740</v>
      </c>
      <c r="D354" s="2" t="s">
        <v>741</v>
      </c>
      <c r="E354" s="2" t="s">
        <v>40</v>
      </c>
      <c r="F354" s="2" t="s">
        <v>17</v>
      </c>
      <c r="G354" s="2" t="s">
        <v>71</v>
      </c>
      <c r="H354" s="2" t="s">
        <v>29</v>
      </c>
      <c r="I354" s="4">
        <v>45488</v>
      </c>
      <c r="J354" s="4">
        <v>45308</v>
      </c>
      <c r="K354" s="2" t="s">
        <v>20</v>
      </c>
      <c r="L354" s="2" t="s">
        <v>21</v>
      </c>
      <c r="M354" s="2" t="s">
        <v>111</v>
      </c>
      <c r="N354" s="2" t="s">
        <v>216</v>
      </c>
      <c r="O354" s="2" t="s">
        <v>24</v>
      </c>
      <c r="P354" s="2" t="s">
        <v>863</v>
      </c>
      <c r="Q354" s="9">
        <v>6000</v>
      </c>
    </row>
    <row r="355" spans="2:17" x14ac:dyDescent="0.25">
      <c r="B355" s="1">
        <f t="shared" si="5"/>
        <v>353</v>
      </c>
      <c r="C355" s="1" t="s">
        <v>742</v>
      </c>
      <c r="D355" s="2" t="s">
        <v>743</v>
      </c>
      <c r="E355" s="2" t="s">
        <v>16</v>
      </c>
      <c r="F355" s="2" t="s">
        <v>17</v>
      </c>
      <c r="G355" s="2" t="s">
        <v>71</v>
      </c>
      <c r="H355" s="2" t="s">
        <v>29</v>
      </c>
      <c r="I355" s="4">
        <v>45488</v>
      </c>
      <c r="J355" s="4">
        <v>45308</v>
      </c>
      <c r="K355" s="2" t="s">
        <v>20</v>
      </c>
      <c r="L355" s="2" t="s">
        <v>21</v>
      </c>
      <c r="M355" s="2" t="s">
        <v>35</v>
      </c>
      <c r="N355" s="2" t="s">
        <v>216</v>
      </c>
      <c r="O355" s="2" t="s">
        <v>24</v>
      </c>
      <c r="P355" s="2" t="s">
        <v>863</v>
      </c>
      <c r="Q355" s="9">
        <v>6000</v>
      </c>
    </row>
    <row r="356" spans="2:17" x14ac:dyDescent="0.25">
      <c r="B356" s="1">
        <f t="shared" si="5"/>
        <v>354</v>
      </c>
      <c r="C356" s="1" t="s">
        <v>744</v>
      </c>
      <c r="D356" s="2" t="s">
        <v>745</v>
      </c>
      <c r="E356" s="2" t="s">
        <v>16</v>
      </c>
      <c r="F356" s="2" t="s">
        <v>17</v>
      </c>
      <c r="G356" s="2" t="s">
        <v>71</v>
      </c>
      <c r="H356" s="2" t="s">
        <v>29</v>
      </c>
      <c r="I356" s="4">
        <v>45488</v>
      </c>
      <c r="J356" s="4">
        <v>45308</v>
      </c>
      <c r="K356" s="2" t="s">
        <v>20</v>
      </c>
      <c r="L356" s="2" t="s">
        <v>21</v>
      </c>
      <c r="M356" s="2" t="s">
        <v>30</v>
      </c>
      <c r="N356" s="2" t="s">
        <v>92</v>
      </c>
      <c r="O356" s="2" t="s">
        <v>43</v>
      </c>
      <c r="P356" s="2" t="s">
        <v>863</v>
      </c>
      <c r="Q356" s="9">
        <v>6000</v>
      </c>
    </row>
    <row r="357" spans="2:17" x14ac:dyDescent="0.25">
      <c r="B357" s="1">
        <f t="shared" si="5"/>
        <v>355</v>
      </c>
      <c r="C357" s="1" t="s">
        <v>746</v>
      </c>
      <c r="D357" s="2" t="s">
        <v>747</v>
      </c>
      <c r="E357" s="2" t="s">
        <v>201</v>
      </c>
      <c r="F357" s="2" t="s">
        <v>17</v>
      </c>
      <c r="G357" s="2" t="s">
        <v>71</v>
      </c>
      <c r="H357" s="2" t="s">
        <v>29</v>
      </c>
      <c r="I357" s="4">
        <v>45491</v>
      </c>
      <c r="J357" s="4">
        <v>45311</v>
      </c>
      <c r="K357" s="2" t="s">
        <v>20</v>
      </c>
      <c r="L357" s="2" t="s">
        <v>34</v>
      </c>
      <c r="M357" s="2" t="s">
        <v>68</v>
      </c>
      <c r="N357" s="2" t="s">
        <v>23</v>
      </c>
      <c r="O357" s="2" t="s">
        <v>24</v>
      </c>
      <c r="P357" s="2" t="s">
        <v>863</v>
      </c>
      <c r="Q357" s="9">
        <v>6000</v>
      </c>
    </row>
    <row r="358" spans="2:17" x14ac:dyDescent="0.25">
      <c r="B358" s="1">
        <f t="shared" si="5"/>
        <v>356</v>
      </c>
      <c r="C358" s="1" t="s">
        <v>748</v>
      </c>
      <c r="D358" s="2" t="s">
        <v>749</v>
      </c>
      <c r="E358" s="2" t="s">
        <v>40</v>
      </c>
      <c r="F358" s="2" t="s">
        <v>17</v>
      </c>
      <c r="G358" s="2" t="s">
        <v>71</v>
      </c>
      <c r="H358" s="2" t="s">
        <v>29</v>
      </c>
      <c r="I358" s="4">
        <v>45492</v>
      </c>
      <c r="J358" s="4">
        <v>45312</v>
      </c>
      <c r="K358" s="2" t="s">
        <v>20</v>
      </c>
      <c r="L358" s="2" t="s">
        <v>21</v>
      </c>
      <c r="M358" s="2" t="s">
        <v>35</v>
      </c>
      <c r="N358" s="2" t="s">
        <v>23</v>
      </c>
      <c r="O358" s="2" t="s">
        <v>24</v>
      </c>
      <c r="P358" s="2" t="s">
        <v>863</v>
      </c>
      <c r="Q358" s="9">
        <v>6000</v>
      </c>
    </row>
    <row r="359" spans="2:17" x14ac:dyDescent="0.25">
      <c r="B359" s="1">
        <f t="shared" si="5"/>
        <v>357</v>
      </c>
      <c r="C359" s="1" t="s">
        <v>750</v>
      </c>
      <c r="D359" s="2" t="s">
        <v>150</v>
      </c>
      <c r="E359" s="2" t="s">
        <v>33</v>
      </c>
      <c r="F359" s="2" t="s">
        <v>17</v>
      </c>
      <c r="G359" s="2" t="s">
        <v>71</v>
      </c>
      <c r="H359" s="2" t="s">
        <v>29</v>
      </c>
      <c r="I359" s="4">
        <v>45492</v>
      </c>
      <c r="J359" s="4">
        <v>45312</v>
      </c>
      <c r="K359" s="2" t="s">
        <v>20</v>
      </c>
      <c r="L359" s="2" t="s">
        <v>21</v>
      </c>
      <c r="M359" s="2" t="s">
        <v>35</v>
      </c>
      <c r="N359" s="2" t="s">
        <v>23</v>
      </c>
      <c r="O359" s="2" t="s">
        <v>24</v>
      </c>
      <c r="P359" s="2" t="s">
        <v>863</v>
      </c>
      <c r="Q359" s="9">
        <v>6000</v>
      </c>
    </row>
    <row r="360" spans="2:17" x14ac:dyDescent="0.25">
      <c r="B360" s="1">
        <f t="shared" si="5"/>
        <v>358</v>
      </c>
      <c r="C360" s="1" t="s">
        <v>751</v>
      </c>
      <c r="D360" s="2" t="s">
        <v>752</v>
      </c>
      <c r="E360" s="2" t="s">
        <v>40</v>
      </c>
      <c r="F360" s="2" t="s">
        <v>17</v>
      </c>
      <c r="G360" s="2" t="s">
        <v>71</v>
      </c>
      <c r="H360" s="2" t="s">
        <v>29</v>
      </c>
      <c r="I360" s="4">
        <v>45492</v>
      </c>
      <c r="J360" s="4">
        <v>45312</v>
      </c>
      <c r="K360" s="2" t="s">
        <v>77</v>
      </c>
      <c r="L360" s="2" t="s">
        <v>21</v>
      </c>
      <c r="M360" s="2" t="s">
        <v>35</v>
      </c>
      <c r="N360" s="2" t="s">
        <v>216</v>
      </c>
      <c r="O360" s="2" t="s">
        <v>24</v>
      </c>
      <c r="P360" s="2" t="s">
        <v>863</v>
      </c>
      <c r="Q360" s="9">
        <v>6000</v>
      </c>
    </row>
    <row r="361" spans="2:17" x14ac:dyDescent="0.25">
      <c r="B361" s="1">
        <f t="shared" si="5"/>
        <v>359</v>
      </c>
      <c r="C361" s="1" t="s">
        <v>753</v>
      </c>
      <c r="D361" s="2" t="s">
        <v>754</v>
      </c>
      <c r="E361" s="2" t="s">
        <v>16</v>
      </c>
      <c r="F361" s="2" t="s">
        <v>17</v>
      </c>
      <c r="G361" s="2" t="s">
        <v>71</v>
      </c>
      <c r="H361" s="2" t="s">
        <v>29</v>
      </c>
      <c r="I361" s="4">
        <v>45494</v>
      </c>
      <c r="J361" s="4">
        <v>45314</v>
      </c>
      <c r="K361" s="2" t="s">
        <v>77</v>
      </c>
      <c r="L361" s="2" t="s">
        <v>21</v>
      </c>
      <c r="M361" s="2" t="s">
        <v>111</v>
      </c>
      <c r="N361" s="2" t="s">
        <v>216</v>
      </c>
      <c r="O361" s="2" t="s">
        <v>24</v>
      </c>
      <c r="P361" s="2" t="s">
        <v>863</v>
      </c>
      <c r="Q361" s="9">
        <v>6000</v>
      </c>
    </row>
    <row r="362" spans="2:17" x14ac:dyDescent="0.25">
      <c r="B362" s="1">
        <f t="shared" si="5"/>
        <v>360</v>
      </c>
      <c r="C362" s="1" t="s">
        <v>755</v>
      </c>
      <c r="D362" s="2" t="s">
        <v>756</v>
      </c>
      <c r="E362" s="2" t="s">
        <v>40</v>
      </c>
      <c r="F362" s="2" t="s">
        <v>17</v>
      </c>
      <c r="G362" s="2" t="s">
        <v>71</v>
      </c>
      <c r="H362" s="2" t="s">
        <v>29</v>
      </c>
      <c r="I362" s="4">
        <v>45494</v>
      </c>
      <c r="J362" s="4">
        <v>45314</v>
      </c>
      <c r="K362" s="2" t="s">
        <v>20</v>
      </c>
      <c r="L362" s="2" t="s">
        <v>21</v>
      </c>
      <c r="M362" s="2" t="s">
        <v>30</v>
      </c>
      <c r="N362" s="2" t="s">
        <v>23</v>
      </c>
      <c r="O362" s="2" t="s">
        <v>24</v>
      </c>
      <c r="P362" s="2" t="s">
        <v>863</v>
      </c>
      <c r="Q362" s="9">
        <v>6000</v>
      </c>
    </row>
    <row r="363" spans="2:17" x14ac:dyDescent="0.25">
      <c r="B363" s="1">
        <f t="shared" si="5"/>
        <v>361</v>
      </c>
      <c r="C363" s="1" t="s">
        <v>757</v>
      </c>
      <c r="D363" s="2" t="s">
        <v>758</v>
      </c>
      <c r="E363" s="2" t="s">
        <v>201</v>
      </c>
      <c r="F363" s="2" t="s">
        <v>17</v>
      </c>
      <c r="G363" s="2" t="s">
        <v>71</v>
      </c>
      <c r="H363" s="2" t="s">
        <v>29</v>
      </c>
      <c r="I363" s="4">
        <v>45496</v>
      </c>
      <c r="J363" s="4">
        <v>45316</v>
      </c>
      <c r="K363" s="2" t="s">
        <v>20</v>
      </c>
      <c r="L363" s="2" t="s">
        <v>21</v>
      </c>
      <c r="M363" s="2" t="s">
        <v>22</v>
      </c>
      <c r="N363" s="2" t="s">
        <v>23</v>
      </c>
      <c r="O363" s="2" t="s">
        <v>24</v>
      </c>
      <c r="P363" s="2" t="s">
        <v>863</v>
      </c>
      <c r="Q363" s="9">
        <v>6000</v>
      </c>
    </row>
    <row r="364" spans="2:17" x14ac:dyDescent="0.25">
      <c r="B364" s="1">
        <f t="shared" si="5"/>
        <v>362</v>
      </c>
      <c r="C364" s="1" t="s">
        <v>759</v>
      </c>
      <c r="D364" s="2" t="s">
        <v>760</v>
      </c>
      <c r="E364" s="2" t="s">
        <v>33</v>
      </c>
      <c r="F364" s="2" t="s">
        <v>17</v>
      </c>
      <c r="G364" s="2" t="s">
        <v>71</v>
      </c>
      <c r="H364" s="2" t="s">
        <v>29</v>
      </c>
      <c r="I364" s="4">
        <v>45496</v>
      </c>
      <c r="J364" s="4">
        <v>45316</v>
      </c>
      <c r="K364" s="2" t="s">
        <v>77</v>
      </c>
      <c r="L364" s="2" t="s">
        <v>21</v>
      </c>
      <c r="M364" s="2" t="s">
        <v>22</v>
      </c>
      <c r="N364" s="2" t="s">
        <v>23</v>
      </c>
      <c r="O364" s="2" t="s">
        <v>24</v>
      </c>
      <c r="P364" s="2" t="s">
        <v>863</v>
      </c>
      <c r="Q364" s="9">
        <v>6000</v>
      </c>
    </row>
    <row r="365" spans="2:17" x14ac:dyDescent="0.25">
      <c r="B365" s="1">
        <f t="shared" si="5"/>
        <v>363</v>
      </c>
      <c r="C365" s="1" t="s">
        <v>761</v>
      </c>
      <c r="D365" s="2" t="s">
        <v>762</v>
      </c>
      <c r="E365" s="2" t="s">
        <v>16</v>
      </c>
      <c r="F365" s="2" t="s">
        <v>17</v>
      </c>
      <c r="G365" s="2" t="s">
        <v>71</v>
      </c>
      <c r="H365" s="2" t="s">
        <v>29</v>
      </c>
      <c r="I365" s="4">
        <v>45499</v>
      </c>
      <c r="J365" s="4">
        <v>45319</v>
      </c>
      <c r="K365" s="2" t="s">
        <v>77</v>
      </c>
      <c r="L365" s="2" t="s">
        <v>34</v>
      </c>
      <c r="M365" s="2" t="s">
        <v>54</v>
      </c>
      <c r="N365" s="2" t="s">
        <v>23</v>
      </c>
      <c r="O365" s="2" t="s">
        <v>24</v>
      </c>
      <c r="P365" s="2" t="s">
        <v>863</v>
      </c>
      <c r="Q365" s="9">
        <v>6000</v>
      </c>
    </row>
    <row r="366" spans="2:17" x14ac:dyDescent="0.25">
      <c r="B366" s="1">
        <f t="shared" si="5"/>
        <v>364</v>
      </c>
      <c r="C366" s="1" t="s">
        <v>763</v>
      </c>
      <c r="D366" s="2" t="s">
        <v>764</v>
      </c>
      <c r="E366" s="2" t="s">
        <v>40</v>
      </c>
      <c r="F366" s="2" t="s">
        <v>17</v>
      </c>
      <c r="G366" s="2" t="s">
        <v>71</v>
      </c>
      <c r="H366" s="2" t="s">
        <v>29</v>
      </c>
      <c r="I366" s="4">
        <v>45503</v>
      </c>
      <c r="J366" s="4">
        <v>45323</v>
      </c>
      <c r="K366" s="2" t="s">
        <v>20</v>
      </c>
      <c r="L366" s="2" t="s">
        <v>21</v>
      </c>
      <c r="M366" s="2" t="s">
        <v>30</v>
      </c>
      <c r="N366" s="2" t="s">
        <v>23</v>
      </c>
      <c r="O366" s="2" t="s">
        <v>24</v>
      </c>
      <c r="P366" s="2" t="s">
        <v>863</v>
      </c>
      <c r="Q366" s="9">
        <v>6000</v>
      </c>
    </row>
    <row r="367" spans="2:17" x14ac:dyDescent="0.25">
      <c r="B367" s="1">
        <f t="shared" si="5"/>
        <v>365</v>
      </c>
      <c r="C367" s="1" t="s">
        <v>765</v>
      </c>
      <c r="D367" s="2" t="s">
        <v>766</v>
      </c>
      <c r="E367" s="2" t="s">
        <v>40</v>
      </c>
      <c r="F367" s="2" t="s">
        <v>17</v>
      </c>
      <c r="G367" s="2" t="s">
        <v>71</v>
      </c>
      <c r="H367" s="2" t="s">
        <v>29</v>
      </c>
      <c r="I367" s="4">
        <v>45505</v>
      </c>
      <c r="J367" s="4">
        <v>45325</v>
      </c>
      <c r="K367" s="2" t="s">
        <v>20</v>
      </c>
      <c r="L367" s="2" t="s">
        <v>21</v>
      </c>
      <c r="M367" s="2" t="s">
        <v>35</v>
      </c>
      <c r="N367" s="2" t="s">
        <v>23</v>
      </c>
      <c r="O367" s="2" t="s">
        <v>24</v>
      </c>
      <c r="P367" s="2" t="s">
        <v>863</v>
      </c>
      <c r="Q367" s="9">
        <v>6000</v>
      </c>
    </row>
    <row r="368" spans="2:17" x14ac:dyDescent="0.25">
      <c r="B368" s="1">
        <f t="shared" si="5"/>
        <v>366</v>
      </c>
      <c r="C368" s="1" t="s">
        <v>767</v>
      </c>
      <c r="D368" s="2" t="s">
        <v>768</v>
      </c>
      <c r="E368" s="2" t="s">
        <v>16</v>
      </c>
      <c r="F368" s="2" t="s">
        <v>17</v>
      </c>
      <c r="G368" s="2" t="s">
        <v>71</v>
      </c>
      <c r="H368" s="2" t="s">
        <v>29</v>
      </c>
      <c r="I368" s="4">
        <v>45506</v>
      </c>
      <c r="J368" s="4">
        <v>45326</v>
      </c>
      <c r="K368" s="2" t="s">
        <v>77</v>
      </c>
      <c r="L368" s="2" t="s">
        <v>21</v>
      </c>
      <c r="M368" s="2" t="s">
        <v>30</v>
      </c>
      <c r="N368" s="2" t="s">
        <v>216</v>
      </c>
      <c r="O368" s="2" t="s">
        <v>24</v>
      </c>
      <c r="P368" s="2" t="s">
        <v>863</v>
      </c>
      <c r="Q368" s="9">
        <v>6000</v>
      </c>
    </row>
    <row r="369" spans="2:17" x14ac:dyDescent="0.25">
      <c r="B369" s="1">
        <f t="shared" si="5"/>
        <v>367</v>
      </c>
      <c r="C369" s="1" t="s">
        <v>769</v>
      </c>
      <c r="D369" s="2" t="s">
        <v>770</v>
      </c>
      <c r="E369" s="2" t="s">
        <v>16</v>
      </c>
      <c r="F369" s="2" t="s">
        <v>17</v>
      </c>
      <c r="G369" s="2" t="s">
        <v>71</v>
      </c>
      <c r="H369" s="2" t="s">
        <v>29</v>
      </c>
      <c r="I369" s="4">
        <v>45506</v>
      </c>
      <c r="J369" s="4">
        <v>45326</v>
      </c>
      <c r="K369" s="2" t="s">
        <v>77</v>
      </c>
      <c r="L369" s="2" t="s">
        <v>34</v>
      </c>
      <c r="M369" s="2" t="s">
        <v>22</v>
      </c>
      <c r="N369" s="2" t="s">
        <v>120</v>
      </c>
      <c r="O369" s="2" t="s">
        <v>43</v>
      </c>
      <c r="P369" s="2" t="s">
        <v>863</v>
      </c>
      <c r="Q369" s="9">
        <v>6000</v>
      </c>
    </row>
    <row r="370" spans="2:17" x14ac:dyDescent="0.25">
      <c r="B370" s="1">
        <f t="shared" si="5"/>
        <v>368</v>
      </c>
      <c r="C370" s="1" t="s">
        <v>771</v>
      </c>
      <c r="D370" s="2" t="s">
        <v>772</v>
      </c>
      <c r="E370" s="2" t="s">
        <v>16</v>
      </c>
      <c r="F370" s="2" t="s">
        <v>17</v>
      </c>
      <c r="G370" s="2" t="s">
        <v>71</v>
      </c>
      <c r="H370" s="2" t="s">
        <v>29</v>
      </c>
      <c r="I370" s="4">
        <v>45506</v>
      </c>
      <c r="J370" s="4">
        <v>45326</v>
      </c>
      <c r="K370" s="2" t="s">
        <v>77</v>
      </c>
      <c r="L370" s="2" t="s">
        <v>21</v>
      </c>
      <c r="M370" s="2" t="s">
        <v>22</v>
      </c>
      <c r="N370" s="2" t="s">
        <v>216</v>
      </c>
      <c r="O370" s="2" t="s">
        <v>24</v>
      </c>
      <c r="P370" s="2" t="s">
        <v>863</v>
      </c>
      <c r="Q370" s="9">
        <v>6000</v>
      </c>
    </row>
    <row r="371" spans="2:17" x14ac:dyDescent="0.25">
      <c r="B371" s="1">
        <f t="shared" si="5"/>
        <v>369</v>
      </c>
      <c r="C371" s="1" t="s">
        <v>773</v>
      </c>
      <c r="D371" s="2" t="s">
        <v>774</v>
      </c>
      <c r="E371" s="2" t="s">
        <v>16</v>
      </c>
      <c r="F371" s="2" t="s">
        <v>17</v>
      </c>
      <c r="G371" s="2" t="s">
        <v>71</v>
      </c>
      <c r="H371" s="2" t="s">
        <v>29</v>
      </c>
      <c r="I371" s="4">
        <v>45506</v>
      </c>
      <c r="J371" s="4">
        <v>45326</v>
      </c>
      <c r="K371" s="2" t="s">
        <v>20</v>
      </c>
      <c r="L371" s="2" t="s">
        <v>21</v>
      </c>
      <c r="M371" s="2" t="s">
        <v>22</v>
      </c>
      <c r="N371" s="2" t="s">
        <v>216</v>
      </c>
      <c r="O371" s="2" t="s">
        <v>24</v>
      </c>
      <c r="P371" s="2" t="s">
        <v>863</v>
      </c>
      <c r="Q371" s="9">
        <v>6000</v>
      </c>
    </row>
    <row r="372" spans="2:17" x14ac:dyDescent="0.25">
      <c r="B372" s="1">
        <f t="shared" si="5"/>
        <v>370</v>
      </c>
      <c r="C372" s="1" t="s">
        <v>775</v>
      </c>
      <c r="D372" s="2" t="s">
        <v>776</v>
      </c>
      <c r="E372" s="2" t="s">
        <v>16</v>
      </c>
      <c r="F372" s="2" t="s">
        <v>17</v>
      </c>
      <c r="G372" s="2" t="s">
        <v>71</v>
      </c>
      <c r="H372" s="2" t="s">
        <v>29</v>
      </c>
      <c r="I372" s="4">
        <v>45506</v>
      </c>
      <c r="J372" s="4">
        <v>45326</v>
      </c>
      <c r="K372" s="2" t="s">
        <v>20</v>
      </c>
      <c r="L372" s="2" t="s">
        <v>21</v>
      </c>
      <c r="M372" s="2" t="s">
        <v>35</v>
      </c>
      <c r="N372" s="2" t="s">
        <v>92</v>
      </c>
      <c r="O372" s="2" t="s">
        <v>43</v>
      </c>
      <c r="P372" s="2" t="s">
        <v>863</v>
      </c>
      <c r="Q372" s="9">
        <v>6000</v>
      </c>
    </row>
    <row r="373" spans="2:17" x14ac:dyDescent="0.25">
      <c r="B373" s="1">
        <f t="shared" si="5"/>
        <v>371</v>
      </c>
      <c r="C373" s="1" t="s">
        <v>777</v>
      </c>
      <c r="D373" s="2" t="s">
        <v>778</v>
      </c>
      <c r="E373" s="2" t="s">
        <v>16</v>
      </c>
      <c r="F373" s="2" t="s">
        <v>17</v>
      </c>
      <c r="G373" s="2" t="s">
        <v>71</v>
      </c>
      <c r="H373" s="2" t="s">
        <v>29</v>
      </c>
      <c r="I373" s="4">
        <v>45506</v>
      </c>
      <c r="J373" s="4">
        <v>45326</v>
      </c>
      <c r="K373" s="2" t="s">
        <v>20</v>
      </c>
      <c r="L373" s="2" t="s">
        <v>21</v>
      </c>
      <c r="M373" s="2" t="s">
        <v>30</v>
      </c>
      <c r="N373" s="2" t="s">
        <v>92</v>
      </c>
      <c r="O373" s="2" t="s">
        <v>43</v>
      </c>
      <c r="P373" s="2" t="s">
        <v>863</v>
      </c>
      <c r="Q373" s="9">
        <v>6000</v>
      </c>
    </row>
    <row r="374" spans="2:17" x14ac:dyDescent="0.25">
      <c r="B374" s="1">
        <f t="shared" si="5"/>
        <v>372</v>
      </c>
      <c r="C374" s="1" t="s">
        <v>779</v>
      </c>
      <c r="D374" s="2" t="s">
        <v>780</v>
      </c>
      <c r="E374" s="2" t="s">
        <v>16</v>
      </c>
      <c r="F374" s="2" t="s">
        <v>17</v>
      </c>
      <c r="G374" s="2" t="s">
        <v>71</v>
      </c>
      <c r="H374" s="2" t="s">
        <v>29</v>
      </c>
      <c r="I374" s="4">
        <v>45506</v>
      </c>
      <c r="J374" s="4">
        <v>45326</v>
      </c>
      <c r="K374" s="2" t="s">
        <v>20</v>
      </c>
      <c r="L374" s="2" t="s">
        <v>21</v>
      </c>
      <c r="M374" s="2" t="s">
        <v>22</v>
      </c>
      <c r="N374" s="2" t="s">
        <v>42</v>
      </c>
      <c r="O374" s="2" t="s">
        <v>43</v>
      </c>
      <c r="P374" s="2" t="s">
        <v>863</v>
      </c>
      <c r="Q374" s="9">
        <v>6000</v>
      </c>
    </row>
    <row r="375" spans="2:17" x14ac:dyDescent="0.25">
      <c r="B375" s="1">
        <f t="shared" si="5"/>
        <v>373</v>
      </c>
      <c r="C375" s="1" t="s">
        <v>781</v>
      </c>
      <c r="D375" s="2" t="s">
        <v>782</v>
      </c>
      <c r="E375" s="2" t="s">
        <v>16</v>
      </c>
      <c r="F375" s="2" t="s">
        <v>17</v>
      </c>
      <c r="G375" s="2" t="s">
        <v>71</v>
      </c>
      <c r="H375" s="2" t="s">
        <v>29</v>
      </c>
      <c r="I375" s="4">
        <v>45506</v>
      </c>
      <c r="J375" s="4">
        <v>45326</v>
      </c>
      <c r="K375" s="2" t="s">
        <v>77</v>
      </c>
      <c r="L375" s="2" t="s">
        <v>21</v>
      </c>
      <c r="M375" s="2" t="s">
        <v>30</v>
      </c>
      <c r="N375" s="2" t="s">
        <v>216</v>
      </c>
      <c r="O375" s="2" t="s">
        <v>24</v>
      </c>
      <c r="P375" s="2" t="s">
        <v>863</v>
      </c>
      <c r="Q375" s="9">
        <v>6000</v>
      </c>
    </row>
    <row r="376" spans="2:17" x14ac:dyDescent="0.25">
      <c r="B376" s="1">
        <f t="shared" si="5"/>
        <v>374</v>
      </c>
      <c r="C376" s="1" t="s">
        <v>783</v>
      </c>
      <c r="D376" s="2" t="s">
        <v>784</v>
      </c>
      <c r="E376" s="2" t="s">
        <v>16</v>
      </c>
      <c r="F376" s="2" t="s">
        <v>17</v>
      </c>
      <c r="G376" s="2" t="s">
        <v>71</v>
      </c>
      <c r="H376" s="2" t="s">
        <v>29</v>
      </c>
      <c r="I376" s="4">
        <v>45506</v>
      </c>
      <c r="J376" s="4">
        <v>45326</v>
      </c>
      <c r="K376" s="2" t="s">
        <v>20</v>
      </c>
      <c r="L376" s="2" t="s">
        <v>21</v>
      </c>
      <c r="M376" s="2" t="s">
        <v>22</v>
      </c>
      <c r="N376" s="2" t="s">
        <v>23</v>
      </c>
      <c r="O376" s="2" t="s">
        <v>24</v>
      </c>
      <c r="P376" s="2" t="s">
        <v>863</v>
      </c>
      <c r="Q376" s="9">
        <v>6000</v>
      </c>
    </row>
    <row r="377" spans="2:17" x14ac:dyDescent="0.25">
      <c r="B377" s="1">
        <f t="shared" si="5"/>
        <v>375</v>
      </c>
      <c r="C377" s="1" t="s">
        <v>785</v>
      </c>
      <c r="D377" s="2" t="s">
        <v>786</v>
      </c>
      <c r="E377" s="2" t="s">
        <v>16</v>
      </c>
      <c r="F377" s="2" t="s">
        <v>17</v>
      </c>
      <c r="G377" s="2" t="s">
        <v>71</v>
      </c>
      <c r="H377" s="2" t="s">
        <v>29</v>
      </c>
      <c r="I377" s="4">
        <v>45506</v>
      </c>
      <c r="J377" s="4">
        <v>45326</v>
      </c>
      <c r="K377" s="2" t="s">
        <v>20</v>
      </c>
      <c r="L377" s="2" t="s">
        <v>21</v>
      </c>
      <c r="M377" s="2" t="s">
        <v>35</v>
      </c>
      <c r="N377" s="2" t="s">
        <v>575</v>
      </c>
      <c r="O377" s="2" t="s">
        <v>43</v>
      </c>
      <c r="P377" s="2" t="s">
        <v>863</v>
      </c>
      <c r="Q377" s="9">
        <v>6000</v>
      </c>
    </row>
    <row r="378" spans="2:17" x14ac:dyDescent="0.25">
      <c r="B378" s="1">
        <f t="shared" si="5"/>
        <v>376</v>
      </c>
      <c r="C378" s="1" t="s">
        <v>787</v>
      </c>
      <c r="D378" s="2" t="s">
        <v>788</v>
      </c>
      <c r="E378" s="2" t="s">
        <v>33</v>
      </c>
      <c r="F378" s="2" t="s">
        <v>17</v>
      </c>
      <c r="G378" s="2" t="s">
        <v>71</v>
      </c>
      <c r="H378" s="2" t="s">
        <v>29</v>
      </c>
      <c r="I378" s="4">
        <v>45507</v>
      </c>
      <c r="J378" s="4">
        <v>45327</v>
      </c>
      <c r="K378" s="2" t="s">
        <v>20</v>
      </c>
      <c r="L378" s="2" t="s">
        <v>21</v>
      </c>
      <c r="M378" s="2" t="s">
        <v>35</v>
      </c>
      <c r="N378" s="2" t="s">
        <v>115</v>
      </c>
      <c r="O378" s="2" t="s">
        <v>24</v>
      </c>
      <c r="P378" s="2" t="s">
        <v>863</v>
      </c>
      <c r="Q378" s="9">
        <v>6000</v>
      </c>
    </row>
    <row r="379" spans="2:17" x14ac:dyDescent="0.25">
      <c r="B379" s="1">
        <f t="shared" si="5"/>
        <v>377</v>
      </c>
      <c r="C379" s="1" t="s">
        <v>789</v>
      </c>
      <c r="D379" s="2" t="s">
        <v>790</v>
      </c>
      <c r="E379" s="2" t="s">
        <v>201</v>
      </c>
      <c r="F379" s="2" t="s">
        <v>17</v>
      </c>
      <c r="G379" s="2" t="s">
        <v>71</v>
      </c>
      <c r="H379" s="2" t="s">
        <v>29</v>
      </c>
      <c r="I379" s="4">
        <v>45508</v>
      </c>
      <c r="J379" s="4">
        <v>45328</v>
      </c>
      <c r="K379" s="2" t="s">
        <v>77</v>
      </c>
      <c r="L379" s="2" t="s">
        <v>21</v>
      </c>
      <c r="M379" s="2" t="s">
        <v>111</v>
      </c>
      <c r="N379" s="2" t="s">
        <v>216</v>
      </c>
      <c r="O379" s="2" t="s">
        <v>24</v>
      </c>
      <c r="P379" s="2" t="s">
        <v>863</v>
      </c>
      <c r="Q379" s="9">
        <v>6000</v>
      </c>
    </row>
    <row r="380" spans="2:17" x14ac:dyDescent="0.25">
      <c r="B380" s="1">
        <f t="shared" si="5"/>
        <v>378</v>
      </c>
      <c r="C380" s="1" t="s">
        <v>791</v>
      </c>
      <c r="D380" s="2" t="s">
        <v>792</v>
      </c>
      <c r="E380" s="2" t="s">
        <v>33</v>
      </c>
      <c r="F380" s="2" t="s">
        <v>17</v>
      </c>
      <c r="G380" s="2" t="s">
        <v>71</v>
      </c>
      <c r="H380" s="2" t="s">
        <v>29</v>
      </c>
      <c r="I380" s="4">
        <v>45508</v>
      </c>
      <c r="J380" s="4">
        <v>45328</v>
      </c>
      <c r="K380" s="2" t="s">
        <v>20</v>
      </c>
      <c r="L380" s="2" t="s">
        <v>21</v>
      </c>
      <c r="M380" s="2" t="s">
        <v>54</v>
      </c>
      <c r="N380" s="2" t="s">
        <v>92</v>
      </c>
      <c r="O380" s="2" t="s">
        <v>43</v>
      </c>
      <c r="P380" s="2" t="s">
        <v>863</v>
      </c>
      <c r="Q380" s="9">
        <v>6000</v>
      </c>
    </row>
    <row r="381" spans="2:17" x14ac:dyDescent="0.25">
      <c r="B381" s="1">
        <f t="shared" si="5"/>
        <v>379</v>
      </c>
      <c r="C381" s="1" t="s">
        <v>793</v>
      </c>
      <c r="D381" s="2" t="s">
        <v>794</v>
      </c>
      <c r="E381" s="2" t="s">
        <v>40</v>
      </c>
      <c r="F381" s="2" t="s">
        <v>17</v>
      </c>
      <c r="G381" s="2" t="s">
        <v>71</v>
      </c>
      <c r="H381" s="2" t="s">
        <v>29</v>
      </c>
      <c r="I381" s="4">
        <v>45508</v>
      </c>
      <c r="J381" s="4">
        <v>45328</v>
      </c>
      <c r="K381" s="2" t="s">
        <v>20</v>
      </c>
      <c r="L381" s="2" t="s">
        <v>21</v>
      </c>
      <c r="M381" s="2" t="s">
        <v>30</v>
      </c>
      <c r="N381" s="2" t="s">
        <v>23</v>
      </c>
      <c r="O381" s="2" t="s">
        <v>24</v>
      </c>
      <c r="P381" s="2" t="s">
        <v>863</v>
      </c>
      <c r="Q381" s="9">
        <v>6000</v>
      </c>
    </row>
    <row r="382" spans="2:17" x14ac:dyDescent="0.25">
      <c r="B382" s="1">
        <f t="shared" si="5"/>
        <v>380</v>
      </c>
      <c r="C382" s="1" t="s">
        <v>795</v>
      </c>
      <c r="D382" s="2" t="s">
        <v>796</v>
      </c>
      <c r="E382" s="2" t="s">
        <v>33</v>
      </c>
      <c r="F382" s="2" t="s">
        <v>17</v>
      </c>
      <c r="G382" s="2" t="s">
        <v>71</v>
      </c>
      <c r="H382" s="2" t="s">
        <v>29</v>
      </c>
      <c r="I382" s="4">
        <v>45508</v>
      </c>
      <c r="J382" s="4">
        <v>45328</v>
      </c>
      <c r="K382" s="2" t="s">
        <v>20</v>
      </c>
      <c r="L382" s="2" t="s">
        <v>21</v>
      </c>
      <c r="M382" s="2" t="s">
        <v>35</v>
      </c>
      <c r="N382" s="2" t="s">
        <v>115</v>
      </c>
      <c r="O382" s="2" t="s">
        <v>24</v>
      </c>
      <c r="P382" s="2" t="s">
        <v>863</v>
      </c>
      <c r="Q382" s="9">
        <v>6000</v>
      </c>
    </row>
    <row r="383" spans="2:17" x14ac:dyDescent="0.25">
      <c r="B383" s="1">
        <f t="shared" si="5"/>
        <v>381</v>
      </c>
      <c r="C383" s="1" t="s">
        <v>797</v>
      </c>
      <c r="D383" s="2" t="s">
        <v>798</v>
      </c>
      <c r="E383" s="2" t="s">
        <v>574</v>
      </c>
      <c r="F383" s="2" t="s">
        <v>17</v>
      </c>
      <c r="G383" s="2" t="s">
        <v>71</v>
      </c>
      <c r="H383" s="2" t="s">
        <v>29</v>
      </c>
      <c r="I383" s="4">
        <v>45508</v>
      </c>
      <c r="J383" s="4">
        <v>45328</v>
      </c>
      <c r="K383" s="2" t="s">
        <v>20</v>
      </c>
      <c r="L383" s="2" t="s">
        <v>21</v>
      </c>
      <c r="M383" s="2" t="s">
        <v>54</v>
      </c>
      <c r="N383" s="2" t="s">
        <v>216</v>
      </c>
      <c r="O383" s="2" t="s">
        <v>24</v>
      </c>
      <c r="P383" s="2" t="s">
        <v>863</v>
      </c>
      <c r="Q383" s="9">
        <v>6000</v>
      </c>
    </row>
    <row r="384" spans="2:17" x14ac:dyDescent="0.25">
      <c r="B384" s="1">
        <f t="shared" si="5"/>
        <v>382</v>
      </c>
      <c r="C384" s="1" t="s">
        <v>799</v>
      </c>
      <c r="D384" s="2" t="s">
        <v>800</v>
      </c>
      <c r="E384" s="2" t="s">
        <v>16</v>
      </c>
      <c r="F384" s="2" t="s">
        <v>17</v>
      </c>
      <c r="G384" s="2" t="s">
        <v>71</v>
      </c>
      <c r="H384" s="2" t="s">
        <v>29</v>
      </c>
      <c r="I384" s="4">
        <v>45508</v>
      </c>
      <c r="J384" s="4">
        <v>45328</v>
      </c>
      <c r="K384" s="2" t="s">
        <v>20</v>
      </c>
      <c r="L384" s="2" t="s">
        <v>21</v>
      </c>
      <c r="M384" s="2" t="s">
        <v>144</v>
      </c>
      <c r="N384" s="2" t="s">
        <v>168</v>
      </c>
      <c r="O384" s="2" t="s">
        <v>47</v>
      </c>
      <c r="P384" s="2" t="s">
        <v>863</v>
      </c>
      <c r="Q384" s="9">
        <v>6000</v>
      </c>
    </row>
    <row r="385" spans="2:17" x14ac:dyDescent="0.25">
      <c r="B385" s="1">
        <f t="shared" si="5"/>
        <v>383</v>
      </c>
      <c r="C385" s="1" t="s">
        <v>801</v>
      </c>
      <c r="D385" s="2" t="s">
        <v>802</v>
      </c>
      <c r="E385" s="2" t="s">
        <v>16</v>
      </c>
      <c r="F385" s="2" t="s">
        <v>17</v>
      </c>
      <c r="G385" s="2" t="s">
        <v>71</v>
      </c>
      <c r="H385" s="2" t="s">
        <v>29</v>
      </c>
      <c r="I385" s="4">
        <v>45509</v>
      </c>
      <c r="J385" s="4">
        <v>45329</v>
      </c>
      <c r="K385" s="2" t="s">
        <v>77</v>
      </c>
      <c r="L385" s="2" t="s">
        <v>21</v>
      </c>
      <c r="M385" s="2" t="s">
        <v>22</v>
      </c>
      <c r="N385" s="2" t="s">
        <v>92</v>
      </c>
      <c r="O385" s="2" t="s">
        <v>43</v>
      </c>
      <c r="P385" s="2" t="s">
        <v>863</v>
      </c>
      <c r="Q385" s="9">
        <v>6000</v>
      </c>
    </row>
    <row r="386" spans="2:17" x14ac:dyDescent="0.25">
      <c r="B386" s="1">
        <f t="shared" si="5"/>
        <v>384</v>
      </c>
      <c r="C386" s="1" t="s">
        <v>803</v>
      </c>
      <c r="D386" s="2" t="s">
        <v>804</v>
      </c>
      <c r="E386" s="2" t="s">
        <v>33</v>
      </c>
      <c r="F386" s="2" t="s">
        <v>17</v>
      </c>
      <c r="G386" s="2" t="s">
        <v>71</v>
      </c>
      <c r="H386" s="2" t="s">
        <v>29</v>
      </c>
      <c r="I386" s="4">
        <v>45509</v>
      </c>
      <c r="J386" s="4">
        <v>45329</v>
      </c>
      <c r="K386" s="2" t="s">
        <v>20</v>
      </c>
      <c r="L386" s="2" t="s">
        <v>21</v>
      </c>
      <c r="M386" s="2" t="s">
        <v>68</v>
      </c>
      <c r="N386" s="2" t="s">
        <v>115</v>
      </c>
      <c r="O386" s="2" t="s">
        <v>24</v>
      </c>
      <c r="P386" s="2" t="s">
        <v>863</v>
      </c>
      <c r="Q386" s="9">
        <v>6000</v>
      </c>
    </row>
    <row r="387" spans="2:17" x14ac:dyDescent="0.25">
      <c r="B387" s="1">
        <f t="shared" ref="B387:B411" si="6">ROW(B385)</f>
        <v>385</v>
      </c>
      <c r="C387" s="1" t="s">
        <v>805</v>
      </c>
      <c r="D387" s="2" t="s">
        <v>806</v>
      </c>
      <c r="E387" s="2" t="s">
        <v>40</v>
      </c>
      <c r="F387" s="2" t="s">
        <v>17</v>
      </c>
      <c r="G387" s="2" t="s">
        <v>71</v>
      </c>
      <c r="H387" s="2" t="s">
        <v>29</v>
      </c>
      <c r="I387" s="4">
        <v>45509</v>
      </c>
      <c r="J387" s="4">
        <v>45329</v>
      </c>
      <c r="K387" s="2" t="s">
        <v>20</v>
      </c>
      <c r="L387" s="2" t="s">
        <v>21</v>
      </c>
      <c r="M387" s="2" t="s">
        <v>22</v>
      </c>
      <c r="N387" s="2" t="s">
        <v>23</v>
      </c>
      <c r="O387" s="2" t="s">
        <v>24</v>
      </c>
      <c r="P387" s="2" t="s">
        <v>863</v>
      </c>
      <c r="Q387" s="9">
        <v>6000</v>
      </c>
    </row>
    <row r="388" spans="2:17" x14ac:dyDescent="0.25">
      <c r="B388" s="1">
        <f t="shared" si="6"/>
        <v>386</v>
      </c>
      <c r="C388" s="1" t="s">
        <v>807</v>
      </c>
      <c r="D388" s="2" t="s">
        <v>808</v>
      </c>
      <c r="E388" s="2" t="s">
        <v>33</v>
      </c>
      <c r="F388" s="2" t="s">
        <v>17</v>
      </c>
      <c r="G388" s="2" t="s">
        <v>71</v>
      </c>
      <c r="H388" s="2" t="s">
        <v>29</v>
      </c>
      <c r="I388" s="4">
        <v>45509</v>
      </c>
      <c r="J388" s="4">
        <v>45329</v>
      </c>
      <c r="K388" s="2" t="s">
        <v>20</v>
      </c>
      <c r="L388" s="2" t="s">
        <v>21</v>
      </c>
      <c r="M388" s="2" t="s">
        <v>22</v>
      </c>
      <c r="N388" s="2" t="s">
        <v>23</v>
      </c>
      <c r="O388" s="2" t="s">
        <v>24</v>
      </c>
      <c r="P388" s="2" t="s">
        <v>863</v>
      </c>
      <c r="Q388" s="9">
        <v>6000</v>
      </c>
    </row>
    <row r="389" spans="2:17" x14ac:dyDescent="0.25">
      <c r="B389" s="1">
        <f t="shared" si="6"/>
        <v>387</v>
      </c>
      <c r="C389" s="1" t="s">
        <v>809</v>
      </c>
      <c r="D389" s="2" t="s">
        <v>810</v>
      </c>
      <c r="E389" s="2" t="s">
        <v>33</v>
      </c>
      <c r="F389" s="2" t="s">
        <v>17</v>
      </c>
      <c r="G389" s="2" t="s">
        <v>71</v>
      </c>
      <c r="H389" s="2" t="s">
        <v>29</v>
      </c>
      <c r="I389" s="4">
        <v>45509</v>
      </c>
      <c r="J389" s="4">
        <v>45329</v>
      </c>
      <c r="K389" s="2" t="s">
        <v>77</v>
      </c>
      <c r="L389" s="2" t="s">
        <v>21</v>
      </c>
      <c r="M389" s="2" t="s">
        <v>22</v>
      </c>
      <c r="N389" s="2" t="s">
        <v>115</v>
      </c>
      <c r="O389" s="2" t="s">
        <v>24</v>
      </c>
      <c r="P389" s="2" t="s">
        <v>863</v>
      </c>
      <c r="Q389" s="9">
        <v>6000</v>
      </c>
    </row>
    <row r="390" spans="2:17" x14ac:dyDescent="0.25">
      <c r="B390" s="1">
        <f t="shared" si="6"/>
        <v>388</v>
      </c>
      <c r="C390" s="1" t="s">
        <v>811</v>
      </c>
      <c r="D390" s="2" t="s">
        <v>812</v>
      </c>
      <c r="E390" s="2" t="s">
        <v>16</v>
      </c>
      <c r="F390" s="2" t="s">
        <v>17</v>
      </c>
      <c r="G390" s="2" t="s">
        <v>71</v>
      </c>
      <c r="H390" s="2" t="s">
        <v>29</v>
      </c>
      <c r="I390" s="4">
        <v>45509</v>
      </c>
      <c r="J390" s="4">
        <v>45329</v>
      </c>
      <c r="K390" s="2" t="s">
        <v>20</v>
      </c>
      <c r="L390" s="2" t="s">
        <v>21</v>
      </c>
      <c r="M390" s="2" t="s">
        <v>30</v>
      </c>
      <c r="N390" s="2" t="s">
        <v>23</v>
      </c>
      <c r="O390" s="2" t="s">
        <v>24</v>
      </c>
      <c r="P390" s="2" t="s">
        <v>863</v>
      </c>
      <c r="Q390" s="9">
        <v>6000</v>
      </c>
    </row>
    <row r="391" spans="2:17" x14ac:dyDescent="0.25">
      <c r="B391" s="1">
        <f t="shared" si="6"/>
        <v>389</v>
      </c>
      <c r="C391" s="1" t="s">
        <v>813</v>
      </c>
      <c r="D391" s="2" t="s">
        <v>814</v>
      </c>
      <c r="E391" s="2" t="s">
        <v>16</v>
      </c>
      <c r="F391" s="2" t="s">
        <v>17</v>
      </c>
      <c r="G391" s="2" t="s">
        <v>71</v>
      </c>
      <c r="H391" s="2" t="s">
        <v>29</v>
      </c>
      <c r="I391" s="4">
        <v>45509</v>
      </c>
      <c r="J391" s="4">
        <v>45329</v>
      </c>
      <c r="K391" s="2" t="s">
        <v>20</v>
      </c>
      <c r="L391" s="2" t="s">
        <v>21</v>
      </c>
      <c r="M391" s="2" t="s">
        <v>35</v>
      </c>
      <c r="N391" s="2" t="s">
        <v>168</v>
      </c>
      <c r="O391" s="2" t="s">
        <v>47</v>
      </c>
      <c r="P391" s="2" t="s">
        <v>863</v>
      </c>
      <c r="Q391" s="9">
        <v>6000</v>
      </c>
    </row>
    <row r="392" spans="2:17" x14ac:dyDescent="0.25">
      <c r="B392" s="1">
        <f t="shared" si="6"/>
        <v>390</v>
      </c>
      <c r="C392" s="1" t="s">
        <v>815</v>
      </c>
      <c r="D392" s="2" t="s">
        <v>816</v>
      </c>
      <c r="E392" s="2" t="s">
        <v>16</v>
      </c>
      <c r="F392" s="2" t="s">
        <v>17</v>
      </c>
      <c r="G392" s="2" t="s">
        <v>71</v>
      </c>
      <c r="H392" s="2" t="s">
        <v>29</v>
      </c>
      <c r="I392" s="4">
        <v>45509</v>
      </c>
      <c r="J392" s="4">
        <v>45329</v>
      </c>
      <c r="K392" s="2" t="s">
        <v>20</v>
      </c>
      <c r="L392" s="2" t="s">
        <v>21</v>
      </c>
      <c r="M392" s="2" t="s">
        <v>22</v>
      </c>
      <c r="N392" s="2" t="s">
        <v>112</v>
      </c>
      <c r="O392" s="2" t="s">
        <v>43</v>
      </c>
      <c r="P392" s="2" t="s">
        <v>863</v>
      </c>
      <c r="Q392" s="9">
        <v>6000</v>
      </c>
    </row>
    <row r="393" spans="2:17" x14ac:dyDescent="0.25">
      <c r="B393" s="1">
        <f t="shared" si="6"/>
        <v>391</v>
      </c>
      <c r="C393" s="1" t="s">
        <v>817</v>
      </c>
      <c r="D393" s="2" t="s">
        <v>818</v>
      </c>
      <c r="E393" s="2" t="s">
        <v>33</v>
      </c>
      <c r="F393" s="2" t="s">
        <v>17</v>
      </c>
      <c r="G393" s="2" t="s">
        <v>71</v>
      </c>
      <c r="H393" s="2" t="s">
        <v>29</v>
      </c>
      <c r="I393" s="4">
        <v>45510</v>
      </c>
      <c r="J393" s="4">
        <v>45330</v>
      </c>
      <c r="K393" s="2" t="s">
        <v>77</v>
      </c>
      <c r="L393" s="2" t="s">
        <v>21</v>
      </c>
      <c r="M393" s="2" t="s">
        <v>35</v>
      </c>
      <c r="N393" s="2" t="s">
        <v>23</v>
      </c>
      <c r="O393" s="2" t="s">
        <v>24</v>
      </c>
      <c r="P393" s="2" t="s">
        <v>863</v>
      </c>
      <c r="Q393" s="9">
        <v>6000</v>
      </c>
    </row>
    <row r="394" spans="2:17" x14ac:dyDescent="0.25">
      <c r="B394" s="1">
        <f t="shared" si="6"/>
        <v>392</v>
      </c>
      <c r="C394" s="1" t="s">
        <v>819</v>
      </c>
      <c r="D394" s="2" t="s">
        <v>820</v>
      </c>
      <c r="E394" s="2" t="s">
        <v>201</v>
      </c>
      <c r="F394" s="2" t="s">
        <v>17</v>
      </c>
      <c r="G394" s="2" t="s">
        <v>71</v>
      </c>
      <c r="H394" s="2" t="s">
        <v>29</v>
      </c>
      <c r="I394" s="4">
        <v>45510</v>
      </c>
      <c r="J394" s="4">
        <v>45330</v>
      </c>
      <c r="K394" s="2" t="s">
        <v>20</v>
      </c>
      <c r="L394" s="2" t="s">
        <v>34</v>
      </c>
      <c r="M394" s="2" t="s">
        <v>30</v>
      </c>
      <c r="N394" s="2" t="s">
        <v>23</v>
      </c>
      <c r="O394" s="2" t="s">
        <v>24</v>
      </c>
      <c r="P394" s="2" t="s">
        <v>863</v>
      </c>
      <c r="Q394" s="9">
        <v>6000</v>
      </c>
    </row>
    <row r="395" spans="2:17" x14ac:dyDescent="0.25">
      <c r="B395" s="1">
        <f t="shared" si="6"/>
        <v>393</v>
      </c>
      <c r="C395" s="1" t="s">
        <v>821</v>
      </c>
      <c r="D395" s="2" t="s">
        <v>822</v>
      </c>
      <c r="E395" s="2" t="s">
        <v>33</v>
      </c>
      <c r="F395" s="2" t="s">
        <v>17</v>
      </c>
      <c r="G395" s="2" t="s">
        <v>71</v>
      </c>
      <c r="H395" s="2" t="s">
        <v>29</v>
      </c>
      <c r="I395" s="4">
        <v>45510</v>
      </c>
      <c r="J395" s="4">
        <v>45330</v>
      </c>
      <c r="K395" s="2" t="s">
        <v>77</v>
      </c>
      <c r="L395" s="2" t="s">
        <v>21</v>
      </c>
      <c r="M395" s="2" t="s">
        <v>35</v>
      </c>
      <c r="N395" s="2" t="s">
        <v>23</v>
      </c>
      <c r="O395" s="2" t="s">
        <v>24</v>
      </c>
      <c r="P395" s="2" t="s">
        <v>863</v>
      </c>
      <c r="Q395" s="9">
        <v>6000</v>
      </c>
    </row>
    <row r="396" spans="2:17" x14ac:dyDescent="0.25">
      <c r="B396" s="1">
        <f t="shared" si="6"/>
        <v>394</v>
      </c>
      <c r="C396" s="1" t="s">
        <v>823</v>
      </c>
      <c r="D396" s="2" t="s">
        <v>824</v>
      </c>
      <c r="E396" s="2" t="s">
        <v>40</v>
      </c>
      <c r="F396" s="2" t="s">
        <v>17</v>
      </c>
      <c r="G396" s="2" t="s">
        <v>71</v>
      </c>
      <c r="H396" s="2" t="s">
        <v>29</v>
      </c>
      <c r="I396" s="4">
        <v>45512</v>
      </c>
      <c r="J396" s="4">
        <v>45332</v>
      </c>
      <c r="K396" s="2" t="s">
        <v>77</v>
      </c>
      <c r="L396" s="2" t="s">
        <v>21</v>
      </c>
      <c r="M396" s="2" t="s">
        <v>22</v>
      </c>
      <c r="N396" s="2" t="s">
        <v>221</v>
      </c>
      <c r="O396" s="2" t="s">
        <v>43</v>
      </c>
      <c r="P396" s="2" t="s">
        <v>863</v>
      </c>
      <c r="Q396" s="9">
        <v>6000</v>
      </c>
    </row>
    <row r="397" spans="2:17" x14ac:dyDescent="0.25">
      <c r="B397" s="1">
        <f t="shared" si="6"/>
        <v>395</v>
      </c>
      <c r="C397" s="1" t="s">
        <v>825</v>
      </c>
      <c r="D397" s="2" t="s">
        <v>826</v>
      </c>
      <c r="E397" s="2" t="s">
        <v>33</v>
      </c>
      <c r="F397" s="2" t="s">
        <v>17</v>
      </c>
      <c r="G397" s="2" t="s">
        <v>71</v>
      </c>
      <c r="H397" s="2" t="s">
        <v>29</v>
      </c>
      <c r="I397" s="4">
        <v>45512</v>
      </c>
      <c r="J397" s="4">
        <v>45332</v>
      </c>
      <c r="K397" s="2" t="s">
        <v>20</v>
      </c>
      <c r="L397" s="2" t="s">
        <v>21</v>
      </c>
      <c r="M397" s="2" t="s">
        <v>30</v>
      </c>
      <c r="N397" s="2" t="s">
        <v>92</v>
      </c>
      <c r="O397" s="2" t="s">
        <v>43</v>
      </c>
      <c r="P397" s="2" t="s">
        <v>863</v>
      </c>
      <c r="Q397" s="9">
        <v>6000</v>
      </c>
    </row>
    <row r="398" spans="2:17" x14ac:dyDescent="0.25">
      <c r="B398" s="1">
        <f t="shared" si="6"/>
        <v>396</v>
      </c>
      <c r="C398" s="1" t="s">
        <v>827</v>
      </c>
      <c r="D398" s="2" t="s">
        <v>828</v>
      </c>
      <c r="E398" s="2" t="s">
        <v>574</v>
      </c>
      <c r="F398" s="2" t="s">
        <v>176</v>
      </c>
      <c r="G398" s="2" t="s">
        <v>28</v>
      </c>
      <c r="H398" s="2" t="s">
        <v>29</v>
      </c>
      <c r="I398" s="4">
        <v>45513</v>
      </c>
      <c r="J398" s="4">
        <v>45333</v>
      </c>
      <c r="K398" s="2" t="s">
        <v>20</v>
      </c>
      <c r="L398" s="2" t="s">
        <v>34</v>
      </c>
      <c r="M398" s="2" t="s">
        <v>35</v>
      </c>
      <c r="N398" s="2" t="s">
        <v>829</v>
      </c>
      <c r="O398" s="2" t="s">
        <v>47</v>
      </c>
      <c r="P398" s="2" t="s">
        <v>863</v>
      </c>
      <c r="Q398" s="9">
        <v>6000</v>
      </c>
    </row>
    <row r="399" spans="2:17" x14ac:dyDescent="0.25">
      <c r="B399" s="1">
        <f t="shared" si="6"/>
        <v>397</v>
      </c>
      <c r="C399" s="1" t="s">
        <v>830</v>
      </c>
      <c r="D399" s="2" t="s">
        <v>831</v>
      </c>
      <c r="E399" s="2" t="s">
        <v>16</v>
      </c>
      <c r="F399" s="2" t="s">
        <v>17</v>
      </c>
      <c r="G399" s="2" t="s">
        <v>71</v>
      </c>
      <c r="H399" s="2" t="s">
        <v>29</v>
      </c>
      <c r="I399" s="4">
        <v>45514</v>
      </c>
      <c r="J399" s="4">
        <v>45334</v>
      </c>
      <c r="K399" s="2" t="s">
        <v>20</v>
      </c>
      <c r="L399" s="2" t="s">
        <v>21</v>
      </c>
      <c r="M399" s="2" t="s">
        <v>54</v>
      </c>
      <c r="N399" s="2" t="s">
        <v>112</v>
      </c>
      <c r="O399" s="2" t="s">
        <v>43</v>
      </c>
      <c r="P399" s="2" t="s">
        <v>863</v>
      </c>
      <c r="Q399" s="9">
        <v>6000</v>
      </c>
    </row>
    <row r="400" spans="2:17" x14ac:dyDescent="0.25">
      <c r="B400" s="1">
        <f t="shared" si="6"/>
        <v>398</v>
      </c>
      <c r="C400" s="1" t="s">
        <v>832</v>
      </c>
      <c r="D400" s="2" t="s">
        <v>833</v>
      </c>
      <c r="E400" s="2" t="s">
        <v>16</v>
      </c>
      <c r="F400" s="2" t="s">
        <v>17</v>
      </c>
      <c r="G400" s="2" t="s">
        <v>71</v>
      </c>
      <c r="H400" s="2" t="s">
        <v>29</v>
      </c>
      <c r="I400" s="4">
        <v>45515</v>
      </c>
      <c r="J400" s="4">
        <v>45335</v>
      </c>
      <c r="K400" s="2" t="s">
        <v>77</v>
      </c>
      <c r="L400" s="2" t="s">
        <v>21</v>
      </c>
      <c r="M400" s="2" t="s">
        <v>512</v>
      </c>
      <c r="N400" s="2" t="s">
        <v>92</v>
      </c>
      <c r="O400" s="2" t="s">
        <v>43</v>
      </c>
      <c r="P400" s="2" t="s">
        <v>863</v>
      </c>
      <c r="Q400" s="9">
        <v>6000</v>
      </c>
    </row>
    <row r="401" spans="2:17" x14ac:dyDescent="0.25">
      <c r="B401" s="1">
        <f t="shared" si="6"/>
        <v>399</v>
      </c>
      <c r="C401" s="1" t="s">
        <v>834</v>
      </c>
      <c r="D401" s="2" t="s">
        <v>559</v>
      </c>
      <c r="E401" s="2" t="s">
        <v>33</v>
      </c>
      <c r="F401" s="2" t="s">
        <v>17</v>
      </c>
      <c r="G401" s="2" t="s">
        <v>71</v>
      </c>
      <c r="H401" s="2" t="s">
        <v>29</v>
      </c>
      <c r="I401" s="4">
        <v>45517</v>
      </c>
      <c r="J401" s="4">
        <v>45337</v>
      </c>
      <c r="K401" s="2" t="s">
        <v>20</v>
      </c>
      <c r="L401" s="2" t="s">
        <v>21</v>
      </c>
      <c r="M401" s="2" t="s">
        <v>35</v>
      </c>
      <c r="N401" s="2" t="s">
        <v>221</v>
      </c>
      <c r="O401" s="2" t="s">
        <v>43</v>
      </c>
      <c r="P401" s="2" t="s">
        <v>863</v>
      </c>
      <c r="Q401" s="9">
        <v>6000</v>
      </c>
    </row>
    <row r="402" spans="2:17" x14ac:dyDescent="0.25">
      <c r="B402" s="1">
        <f t="shared" si="6"/>
        <v>400</v>
      </c>
      <c r="C402" s="1" t="s">
        <v>835</v>
      </c>
      <c r="D402" s="2" t="s">
        <v>836</v>
      </c>
      <c r="E402" s="2" t="s">
        <v>40</v>
      </c>
      <c r="F402" s="2" t="s">
        <v>17</v>
      </c>
      <c r="G402" s="2" t="s">
        <v>71</v>
      </c>
      <c r="H402" s="2" t="s">
        <v>29</v>
      </c>
      <c r="I402" s="4">
        <v>45517</v>
      </c>
      <c r="J402" s="4">
        <v>45337</v>
      </c>
      <c r="K402" s="2" t="s">
        <v>77</v>
      </c>
      <c r="L402" s="2" t="s">
        <v>21</v>
      </c>
      <c r="M402" s="2" t="s">
        <v>35</v>
      </c>
      <c r="N402" s="2" t="s">
        <v>23</v>
      </c>
      <c r="O402" s="2" t="s">
        <v>24</v>
      </c>
      <c r="P402" s="2" t="s">
        <v>863</v>
      </c>
      <c r="Q402" s="9">
        <v>6000</v>
      </c>
    </row>
    <row r="403" spans="2:17" x14ac:dyDescent="0.25">
      <c r="B403" s="1">
        <f t="shared" si="6"/>
        <v>401</v>
      </c>
      <c r="C403" s="1" t="s">
        <v>837</v>
      </c>
      <c r="D403" s="2" t="s">
        <v>838</v>
      </c>
      <c r="E403" s="2" t="s">
        <v>33</v>
      </c>
      <c r="F403" s="2" t="s">
        <v>17</v>
      </c>
      <c r="G403" s="2" t="s">
        <v>71</v>
      </c>
      <c r="H403" s="2" t="s">
        <v>29</v>
      </c>
      <c r="I403" s="4">
        <v>45517</v>
      </c>
      <c r="J403" s="4">
        <v>45337</v>
      </c>
      <c r="K403" s="2" t="s">
        <v>77</v>
      </c>
      <c r="L403" s="2" t="s">
        <v>21</v>
      </c>
      <c r="M403" s="2" t="s">
        <v>30</v>
      </c>
      <c r="N403" s="2" t="s">
        <v>460</v>
      </c>
      <c r="O403" s="2" t="s">
        <v>47</v>
      </c>
      <c r="P403" s="2" t="s">
        <v>863</v>
      </c>
      <c r="Q403" s="9">
        <v>6000</v>
      </c>
    </row>
    <row r="404" spans="2:17" x14ac:dyDescent="0.25">
      <c r="B404" s="1">
        <f t="shared" si="6"/>
        <v>402</v>
      </c>
      <c r="C404" s="1" t="s">
        <v>839</v>
      </c>
      <c r="D404" s="2" t="s">
        <v>840</v>
      </c>
      <c r="E404" s="2" t="s">
        <v>33</v>
      </c>
      <c r="F404" s="2" t="s">
        <v>17</v>
      </c>
      <c r="G404" s="2" t="s">
        <v>71</v>
      </c>
      <c r="H404" s="2" t="s">
        <v>29</v>
      </c>
      <c r="I404" s="4">
        <v>45517</v>
      </c>
      <c r="J404" s="4">
        <v>45337</v>
      </c>
      <c r="K404" s="2" t="s">
        <v>77</v>
      </c>
      <c r="L404" s="2" t="s">
        <v>21</v>
      </c>
      <c r="M404" s="2" t="s">
        <v>22</v>
      </c>
      <c r="N404" s="2" t="s">
        <v>23</v>
      </c>
      <c r="O404" s="2" t="s">
        <v>24</v>
      </c>
      <c r="P404" s="2" t="s">
        <v>863</v>
      </c>
      <c r="Q404" s="9">
        <v>30000</v>
      </c>
    </row>
    <row r="405" spans="2:17" x14ac:dyDescent="0.25">
      <c r="B405" s="1">
        <f t="shared" si="6"/>
        <v>403</v>
      </c>
      <c r="C405" s="1" t="s">
        <v>841</v>
      </c>
      <c r="D405" s="2" t="s">
        <v>842</v>
      </c>
      <c r="E405" s="2" t="s">
        <v>16</v>
      </c>
      <c r="F405" s="2" t="s">
        <v>17</v>
      </c>
      <c r="G405" s="2" t="s">
        <v>71</v>
      </c>
      <c r="H405" s="2" t="s">
        <v>29</v>
      </c>
      <c r="I405" s="4">
        <v>45517</v>
      </c>
      <c r="J405" s="4">
        <v>45337</v>
      </c>
      <c r="K405" s="2" t="s">
        <v>77</v>
      </c>
      <c r="L405" s="2" t="s">
        <v>21</v>
      </c>
      <c r="M405" s="2" t="s">
        <v>30</v>
      </c>
      <c r="N405" s="2" t="s">
        <v>221</v>
      </c>
      <c r="O405" s="2" t="s">
        <v>43</v>
      </c>
      <c r="P405" s="2" t="s">
        <v>863</v>
      </c>
      <c r="Q405" s="9">
        <v>30000</v>
      </c>
    </row>
    <row r="406" spans="2:17" x14ac:dyDescent="0.25">
      <c r="B406" s="1">
        <f t="shared" si="6"/>
        <v>404</v>
      </c>
      <c r="C406" s="1" t="s">
        <v>843</v>
      </c>
      <c r="D406" s="2" t="s">
        <v>844</v>
      </c>
      <c r="E406" s="2" t="s">
        <v>40</v>
      </c>
      <c r="F406" s="2" t="s">
        <v>17</v>
      </c>
      <c r="G406" s="2" t="s">
        <v>71</v>
      </c>
      <c r="H406" s="2" t="s">
        <v>29</v>
      </c>
      <c r="I406" s="4">
        <v>45517</v>
      </c>
      <c r="J406" s="4">
        <v>45337</v>
      </c>
      <c r="K406" s="2" t="s">
        <v>77</v>
      </c>
      <c r="L406" s="2" t="s">
        <v>21</v>
      </c>
      <c r="M406" s="2" t="s">
        <v>22</v>
      </c>
      <c r="N406" s="2" t="s">
        <v>23</v>
      </c>
      <c r="O406" s="2" t="s">
        <v>24</v>
      </c>
      <c r="P406" s="2" t="s">
        <v>863</v>
      </c>
      <c r="Q406" s="9">
        <v>30000</v>
      </c>
    </row>
    <row r="407" spans="2:17" x14ac:dyDescent="0.25">
      <c r="B407" s="1">
        <f t="shared" si="6"/>
        <v>405</v>
      </c>
      <c r="C407" s="1" t="s">
        <v>845</v>
      </c>
      <c r="D407" s="2" t="s">
        <v>846</v>
      </c>
      <c r="E407" s="2" t="s">
        <v>40</v>
      </c>
      <c r="F407" s="2" t="s">
        <v>17</v>
      </c>
      <c r="G407" s="2" t="s">
        <v>71</v>
      </c>
      <c r="H407" s="2" t="s">
        <v>29</v>
      </c>
      <c r="I407" s="4">
        <v>45517</v>
      </c>
      <c r="J407" s="4">
        <v>45337</v>
      </c>
      <c r="K407" s="2" t="s">
        <v>20</v>
      </c>
      <c r="L407" s="2" t="s">
        <v>21</v>
      </c>
      <c r="M407" s="2" t="s">
        <v>22</v>
      </c>
      <c r="N407" s="2" t="s">
        <v>23</v>
      </c>
      <c r="O407" s="2" t="s">
        <v>24</v>
      </c>
      <c r="P407" s="2" t="s">
        <v>863</v>
      </c>
      <c r="Q407" s="9">
        <v>30000</v>
      </c>
    </row>
    <row r="408" spans="2:17" x14ac:dyDescent="0.25">
      <c r="B408" s="1">
        <f t="shared" si="6"/>
        <v>406</v>
      </c>
      <c r="C408" s="1" t="s">
        <v>847</v>
      </c>
      <c r="D408" s="2" t="s">
        <v>848</v>
      </c>
      <c r="E408" s="2" t="s">
        <v>33</v>
      </c>
      <c r="F408" s="2" t="s">
        <v>17</v>
      </c>
      <c r="G408" s="2" t="s">
        <v>71</v>
      </c>
      <c r="H408" s="2" t="s">
        <v>29</v>
      </c>
      <c r="I408" s="4">
        <v>45519</v>
      </c>
      <c r="J408" s="4">
        <v>45339</v>
      </c>
      <c r="K408" s="2" t="s">
        <v>20</v>
      </c>
      <c r="L408" s="2" t="s">
        <v>21</v>
      </c>
      <c r="M408" s="2" t="s">
        <v>30</v>
      </c>
      <c r="N408" s="2" t="s">
        <v>23</v>
      </c>
      <c r="O408" s="2" t="s">
        <v>24</v>
      </c>
      <c r="P408" s="2" t="s">
        <v>863</v>
      </c>
      <c r="Q408" s="9">
        <v>30000</v>
      </c>
    </row>
    <row r="409" spans="2:17" x14ac:dyDescent="0.25">
      <c r="B409" s="1">
        <f t="shared" si="6"/>
        <v>407</v>
      </c>
      <c r="C409" s="1" t="s">
        <v>849</v>
      </c>
      <c r="D409" s="2" t="s">
        <v>850</v>
      </c>
      <c r="E409" s="2" t="s">
        <v>33</v>
      </c>
      <c r="F409" s="2" t="s">
        <v>17</v>
      </c>
      <c r="G409" s="2" t="s">
        <v>71</v>
      </c>
      <c r="H409" s="2" t="s">
        <v>29</v>
      </c>
      <c r="I409" s="4">
        <v>45535</v>
      </c>
      <c r="J409" s="4">
        <v>45355</v>
      </c>
      <c r="K409" s="2" t="s">
        <v>20</v>
      </c>
      <c r="L409" s="2" t="s">
        <v>21</v>
      </c>
      <c r="M409" s="2" t="s">
        <v>35</v>
      </c>
      <c r="N409" s="2" t="s">
        <v>23</v>
      </c>
      <c r="O409" s="2" t="s">
        <v>24</v>
      </c>
      <c r="P409" s="2" t="s">
        <v>863</v>
      </c>
      <c r="Q409" s="9">
        <v>30000</v>
      </c>
    </row>
    <row r="410" spans="2:17" x14ac:dyDescent="0.25">
      <c r="B410" s="1">
        <f t="shared" si="6"/>
        <v>408</v>
      </c>
      <c r="C410" s="1" t="s">
        <v>851</v>
      </c>
      <c r="D410" s="2" t="s">
        <v>852</v>
      </c>
      <c r="E410" s="2" t="s">
        <v>27</v>
      </c>
      <c r="F410" s="2" t="s">
        <v>853</v>
      </c>
      <c r="G410" s="2" t="s">
        <v>18</v>
      </c>
      <c r="H410" s="2" t="s">
        <v>29</v>
      </c>
      <c r="I410" s="4">
        <v>45579</v>
      </c>
      <c r="J410" s="4">
        <v>45399</v>
      </c>
      <c r="K410" s="2" t="s">
        <v>20</v>
      </c>
      <c r="L410" s="2" t="s">
        <v>21</v>
      </c>
      <c r="M410" s="2" t="s">
        <v>22</v>
      </c>
      <c r="N410" s="2" t="s">
        <v>303</v>
      </c>
      <c r="O410" s="2" t="s">
        <v>37</v>
      </c>
      <c r="P410" s="2" t="s">
        <v>863</v>
      </c>
      <c r="Q410" s="9">
        <v>30000</v>
      </c>
    </row>
    <row r="411" spans="2:17" x14ac:dyDescent="0.25">
      <c r="B411" s="1">
        <f t="shared" si="6"/>
        <v>409</v>
      </c>
      <c r="C411" s="1" t="s">
        <v>854</v>
      </c>
      <c r="D411" s="2" t="s">
        <v>855</v>
      </c>
      <c r="E411" s="2" t="s">
        <v>40</v>
      </c>
      <c r="F411" s="2" t="s">
        <v>171</v>
      </c>
      <c r="G411" s="2" t="s">
        <v>28</v>
      </c>
      <c r="H411" s="2" t="s">
        <v>29</v>
      </c>
      <c r="I411" s="4">
        <v>45594</v>
      </c>
      <c r="J411" s="4">
        <v>45414</v>
      </c>
      <c r="K411" s="2" t="s">
        <v>20</v>
      </c>
      <c r="L411" s="2" t="s">
        <v>34</v>
      </c>
      <c r="M411" s="2" t="s">
        <v>35</v>
      </c>
      <c r="N411" s="2" t="s">
        <v>856</v>
      </c>
      <c r="O411" s="2" t="s">
        <v>98</v>
      </c>
      <c r="P411" s="2" t="s">
        <v>863</v>
      </c>
      <c r="Q411" s="9">
        <v>30000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EB89-903A-4541-BDB2-2959E53302B8}">
  <sheetPr codeName="Sheet3"/>
  <dimension ref="B4:V78"/>
  <sheetViews>
    <sheetView showGridLines="0" topLeftCell="D1" workbookViewId="0">
      <selection activeCell="N28" sqref="N28"/>
    </sheetView>
  </sheetViews>
  <sheetFormatPr defaultRowHeight="15" x14ac:dyDescent="0.25"/>
  <cols>
    <col min="2" max="2" width="13.140625" bestFit="1" customWidth="1"/>
    <col min="3" max="3" width="22.7109375" bestFit="1" customWidth="1"/>
    <col min="12" max="12" width="16.140625" bestFit="1" customWidth="1"/>
    <col min="21" max="21" width="23.140625" bestFit="1" customWidth="1"/>
    <col min="22" max="22" width="18" bestFit="1" customWidth="1"/>
  </cols>
  <sheetData>
    <row r="4" spans="2:22" x14ac:dyDescent="0.25">
      <c r="B4" t="s">
        <v>858</v>
      </c>
    </row>
    <row r="5" spans="2:22" x14ac:dyDescent="0.25">
      <c r="B5" s="14">
        <v>409</v>
      </c>
    </row>
    <row r="7" spans="2:22" x14ac:dyDescent="0.25">
      <c r="B7" s="6" t="s">
        <v>9</v>
      </c>
      <c r="C7" t="s">
        <v>857</v>
      </c>
    </row>
    <row r="8" spans="2:22" x14ac:dyDescent="0.25">
      <c r="B8" s="7" t="s">
        <v>77</v>
      </c>
      <c r="C8" s="14">
        <v>138</v>
      </c>
      <c r="U8" s="6" t="s">
        <v>861</v>
      </c>
      <c r="V8" t="s">
        <v>901</v>
      </c>
    </row>
    <row r="9" spans="2:22" x14ac:dyDescent="0.25">
      <c r="B9" s="7" t="s">
        <v>20</v>
      </c>
      <c r="C9" s="14">
        <v>271</v>
      </c>
      <c r="U9" s="7" t="s">
        <v>27</v>
      </c>
      <c r="V9" s="15">
        <v>69500</v>
      </c>
    </row>
    <row r="10" spans="2:22" x14ac:dyDescent="0.25">
      <c r="U10" s="7" t="s">
        <v>76</v>
      </c>
      <c r="V10" s="15">
        <v>56</v>
      </c>
    </row>
    <row r="11" spans="2:22" x14ac:dyDescent="0.25">
      <c r="U11" s="7" t="s">
        <v>16</v>
      </c>
      <c r="V11" s="15">
        <v>967084</v>
      </c>
    </row>
    <row r="12" spans="2:22" x14ac:dyDescent="0.25">
      <c r="B12" s="6" t="s">
        <v>859</v>
      </c>
      <c r="C12" t="s">
        <v>857</v>
      </c>
      <c r="U12" s="7" t="s">
        <v>201</v>
      </c>
      <c r="V12" s="15">
        <v>247672</v>
      </c>
    </row>
    <row r="13" spans="2:22" x14ac:dyDescent="0.25">
      <c r="B13" s="7" t="s">
        <v>27</v>
      </c>
      <c r="C13" s="14">
        <v>4</v>
      </c>
      <c r="U13" s="7" t="s">
        <v>574</v>
      </c>
      <c r="V13" s="15">
        <v>39000</v>
      </c>
    </row>
    <row r="14" spans="2:22" x14ac:dyDescent="0.25">
      <c r="B14" s="7" t="s">
        <v>76</v>
      </c>
      <c r="C14" s="14">
        <v>1</v>
      </c>
      <c r="U14" s="7" t="s">
        <v>33</v>
      </c>
      <c r="V14" s="15">
        <v>3924057</v>
      </c>
    </row>
    <row r="15" spans="2:22" x14ac:dyDescent="0.25">
      <c r="B15" s="7" t="s">
        <v>16</v>
      </c>
      <c r="C15" s="14">
        <v>93</v>
      </c>
      <c r="U15" s="7" t="s">
        <v>40</v>
      </c>
      <c r="V15" s="15">
        <v>1295431</v>
      </c>
    </row>
    <row r="16" spans="2:22" x14ac:dyDescent="0.25">
      <c r="B16" s="7" t="s">
        <v>201</v>
      </c>
      <c r="C16" s="14">
        <v>28</v>
      </c>
      <c r="U16" s="7" t="s">
        <v>864</v>
      </c>
      <c r="V16" s="15">
        <v>6542800</v>
      </c>
    </row>
    <row r="17" spans="2:3" x14ac:dyDescent="0.25">
      <c r="B17" s="7" t="s">
        <v>574</v>
      </c>
      <c r="C17" s="14">
        <v>3</v>
      </c>
    </row>
    <row r="18" spans="2:3" x14ac:dyDescent="0.25">
      <c r="B18" s="7" t="s">
        <v>33</v>
      </c>
      <c r="C18" s="14">
        <v>154</v>
      </c>
    </row>
    <row r="19" spans="2:3" x14ac:dyDescent="0.25">
      <c r="B19" s="7" t="s">
        <v>40</v>
      </c>
      <c r="C19" s="14">
        <v>126</v>
      </c>
    </row>
    <row r="22" spans="2:3" x14ac:dyDescent="0.25">
      <c r="B22" s="6" t="s">
        <v>860</v>
      </c>
      <c r="C22" t="s">
        <v>857</v>
      </c>
    </row>
    <row r="23" spans="2:3" x14ac:dyDescent="0.25">
      <c r="B23" s="7" t="s">
        <v>195</v>
      </c>
      <c r="C23" s="14">
        <v>5</v>
      </c>
    </row>
    <row r="24" spans="2:3" x14ac:dyDescent="0.25">
      <c r="B24" s="7" t="s">
        <v>190</v>
      </c>
      <c r="C24" s="14">
        <v>2</v>
      </c>
    </row>
    <row r="25" spans="2:3" x14ac:dyDescent="0.25">
      <c r="B25" s="7" t="s">
        <v>641</v>
      </c>
      <c r="C25" s="14">
        <v>2</v>
      </c>
    </row>
    <row r="26" spans="2:3" x14ac:dyDescent="0.25">
      <c r="B26" s="7" t="s">
        <v>165</v>
      </c>
      <c r="C26" s="14">
        <v>15</v>
      </c>
    </row>
    <row r="27" spans="2:3" x14ac:dyDescent="0.25">
      <c r="B27" s="7" t="s">
        <v>198</v>
      </c>
      <c r="C27" s="14">
        <v>11</v>
      </c>
    </row>
    <row r="28" spans="2:3" x14ac:dyDescent="0.25">
      <c r="B28" s="7" t="s">
        <v>17</v>
      </c>
      <c r="C28" s="14">
        <v>363</v>
      </c>
    </row>
    <row r="29" spans="2:3" x14ac:dyDescent="0.25">
      <c r="B29" s="7" t="s">
        <v>41</v>
      </c>
      <c r="C29" s="14">
        <v>2</v>
      </c>
    </row>
    <row r="30" spans="2:3" x14ac:dyDescent="0.25">
      <c r="B30" s="7" t="s">
        <v>171</v>
      </c>
      <c r="C30" s="14">
        <v>5</v>
      </c>
    </row>
    <row r="31" spans="2:3" x14ac:dyDescent="0.25">
      <c r="B31" s="7" t="s">
        <v>176</v>
      </c>
      <c r="C31" s="14">
        <v>3</v>
      </c>
    </row>
    <row r="32" spans="2:3" x14ac:dyDescent="0.25">
      <c r="B32" s="7" t="s">
        <v>853</v>
      </c>
      <c r="C32" s="14">
        <v>1</v>
      </c>
    </row>
    <row r="35" spans="2:3" x14ac:dyDescent="0.25">
      <c r="B35" s="6" t="s">
        <v>5</v>
      </c>
      <c r="C35" t="s">
        <v>857</v>
      </c>
    </row>
    <row r="36" spans="2:3" x14ac:dyDescent="0.25">
      <c r="B36" s="7" t="s">
        <v>71</v>
      </c>
      <c r="C36" s="14">
        <v>378</v>
      </c>
    </row>
    <row r="37" spans="2:3" x14ac:dyDescent="0.25">
      <c r="B37" s="7" t="s">
        <v>28</v>
      </c>
      <c r="C37" s="14">
        <v>24</v>
      </c>
    </row>
    <row r="38" spans="2:3" x14ac:dyDescent="0.25">
      <c r="B38" s="7" t="s">
        <v>18</v>
      </c>
      <c r="C38" s="14">
        <v>7</v>
      </c>
    </row>
    <row r="41" spans="2:3" x14ac:dyDescent="0.25">
      <c r="B41" s="6" t="s">
        <v>6</v>
      </c>
      <c r="C41" t="s">
        <v>857</v>
      </c>
    </row>
    <row r="42" spans="2:3" x14ac:dyDescent="0.25">
      <c r="B42" s="7" t="s">
        <v>19</v>
      </c>
      <c r="C42" s="14">
        <v>22</v>
      </c>
    </row>
    <row r="43" spans="2:3" x14ac:dyDescent="0.25">
      <c r="B43" s="7" t="s">
        <v>29</v>
      </c>
      <c r="C43" s="14">
        <v>387</v>
      </c>
    </row>
    <row r="46" spans="2:3" x14ac:dyDescent="0.25">
      <c r="B46" s="6" t="s">
        <v>10</v>
      </c>
      <c r="C46" t="s">
        <v>857</v>
      </c>
    </row>
    <row r="47" spans="2:3" x14ac:dyDescent="0.25">
      <c r="B47" s="7" t="s">
        <v>34</v>
      </c>
      <c r="C47" s="14">
        <v>69</v>
      </c>
    </row>
    <row r="48" spans="2:3" x14ac:dyDescent="0.25">
      <c r="B48" s="7" t="s">
        <v>21</v>
      </c>
      <c r="C48" s="14">
        <v>340</v>
      </c>
    </row>
    <row r="51" spans="2:3" x14ac:dyDescent="0.25">
      <c r="B51" s="6" t="s">
        <v>11</v>
      </c>
      <c r="C51" t="s">
        <v>857</v>
      </c>
    </row>
    <row r="52" spans="2:3" x14ac:dyDescent="0.25">
      <c r="B52" s="7" t="s">
        <v>137</v>
      </c>
      <c r="C52" s="14">
        <v>3</v>
      </c>
    </row>
    <row r="53" spans="2:3" x14ac:dyDescent="0.25">
      <c r="B53" s="7" t="s">
        <v>30</v>
      </c>
      <c r="C53" s="14">
        <v>90</v>
      </c>
    </row>
    <row r="54" spans="2:3" x14ac:dyDescent="0.25">
      <c r="B54" s="7" t="s">
        <v>512</v>
      </c>
      <c r="C54" s="14">
        <v>2</v>
      </c>
    </row>
    <row r="55" spans="2:3" x14ac:dyDescent="0.25">
      <c r="B55" s="7" t="s">
        <v>54</v>
      </c>
      <c r="C55" s="14">
        <v>36</v>
      </c>
    </row>
    <row r="56" spans="2:3" x14ac:dyDescent="0.25">
      <c r="B56" s="7" t="s">
        <v>144</v>
      </c>
      <c r="C56" s="14">
        <v>5</v>
      </c>
    </row>
    <row r="57" spans="2:3" x14ac:dyDescent="0.25">
      <c r="B57" s="7" t="s">
        <v>22</v>
      </c>
      <c r="C57" s="14">
        <v>124</v>
      </c>
    </row>
    <row r="58" spans="2:3" x14ac:dyDescent="0.25">
      <c r="B58" s="7" t="s">
        <v>111</v>
      </c>
      <c r="C58" s="14">
        <v>31</v>
      </c>
    </row>
    <row r="59" spans="2:3" x14ac:dyDescent="0.25">
      <c r="B59" s="7" t="s">
        <v>68</v>
      </c>
      <c r="C59" s="14">
        <v>4</v>
      </c>
    </row>
    <row r="60" spans="2:3" x14ac:dyDescent="0.25">
      <c r="B60" s="7" t="s">
        <v>35</v>
      </c>
      <c r="C60" s="14">
        <v>114</v>
      </c>
    </row>
    <row r="63" spans="2:3" x14ac:dyDescent="0.25">
      <c r="B63" s="6" t="s">
        <v>13</v>
      </c>
      <c r="C63" t="s">
        <v>857</v>
      </c>
    </row>
    <row r="64" spans="2:3" x14ac:dyDescent="0.25">
      <c r="B64" s="7" t="s">
        <v>47</v>
      </c>
      <c r="C64" s="14">
        <v>14</v>
      </c>
    </row>
    <row r="65" spans="2:3" x14ac:dyDescent="0.25">
      <c r="B65" s="7" t="s">
        <v>24</v>
      </c>
      <c r="C65" s="14">
        <v>254</v>
      </c>
    </row>
    <row r="66" spans="2:3" x14ac:dyDescent="0.25">
      <c r="B66" s="7" t="s">
        <v>98</v>
      </c>
      <c r="C66" s="14">
        <v>3</v>
      </c>
    </row>
    <row r="67" spans="2:3" x14ac:dyDescent="0.25">
      <c r="B67" s="7" t="s">
        <v>43</v>
      </c>
      <c r="C67" s="14">
        <v>109</v>
      </c>
    </row>
    <row r="68" spans="2:3" x14ac:dyDescent="0.25">
      <c r="B68" s="7" t="s">
        <v>37</v>
      </c>
      <c r="C68" s="14">
        <v>25</v>
      </c>
    </row>
    <row r="69" spans="2:3" x14ac:dyDescent="0.25">
      <c r="B69" s="7" t="s">
        <v>279</v>
      </c>
      <c r="C69" s="14">
        <v>4</v>
      </c>
    </row>
    <row r="71" spans="2:3" x14ac:dyDescent="0.25">
      <c r="B71" t="s">
        <v>857</v>
      </c>
    </row>
    <row r="72" spans="2:3" x14ac:dyDescent="0.25">
      <c r="B72" s="14">
        <v>409</v>
      </c>
    </row>
    <row r="74" spans="2:3" x14ac:dyDescent="0.25">
      <c r="B74" s="6" t="s">
        <v>861</v>
      </c>
      <c r="C74" t="s">
        <v>868</v>
      </c>
    </row>
    <row r="75" spans="2:3" x14ac:dyDescent="0.25">
      <c r="B75" s="7" t="s">
        <v>863</v>
      </c>
      <c r="C75" s="14">
        <v>407</v>
      </c>
    </row>
    <row r="76" spans="2:3" x14ac:dyDescent="0.25">
      <c r="B76" s="7" t="s">
        <v>867</v>
      </c>
      <c r="C76" s="14">
        <v>1</v>
      </c>
    </row>
    <row r="77" spans="2:3" x14ac:dyDescent="0.25">
      <c r="B77" s="7" t="s">
        <v>866</v>
      </c>
      <c r="C77" s="14">
        <v>1</v>
      </c>
    </row>
    <row r="78" spans="2:3" x14ac:dyDescent="0.25">
      <c r="B78" s="7" t="s">
        <v>864</v>
      </c>
      <c r="C78" s="14">
        <v>409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1C8F-80E8-404F-91D8-D50A79F5A52E}">
  <dimension ref="A1"/>
  <sheetViews>
    <sheetView showGridLines="0" workbookViewId="0">
      <selection activeCell="E16" sqref="E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2C5D-C3E7-4385-B0BA-1229ED6980FE}">
  <dimension ref="J9:J13"/>
  <sheetViews>
    <sheetView workbookViewId="0">
      <selection activeCell="O20" sqref="O20"/>
    </sheetView>
  </sheetViews>
  <sheetFormatPr defaultRowHeight="15" x14ac:dyDescent="0.25"/>
  <cols>
    <col min="10" max="10" width="13.42578125" customWidth="1"/>
  </cols>
  <sheetData>
    <row r="9" spans="10:10" x14ac:dyDescent="0.25">
      <c r="J9" t="s">
        <v>896</v>
      </c>
    </row>
    <row r="10" spans="10:10" x14ac:dyDescent="0.25">
      <c r="J10" t="s">
        <v>897</v>
      </c>
    </row>
    <row r="11" spans="10:10" x14ac:dyDescent="0.25">
      <c r="J11" t="s">
        <v>898</v>
      </c>
    </row>
    <row r="12" spans="10:10" x14ac:dyDescent="0.25">
      <c r="J12" t="s">
        <v>899</v>
      </c>
    </row>
    <row r="13" spans="10:10" x14ac:dyDescent="0.25">
      <c r="J13" t="s">
        <v>900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AE56-FF1E-402F-A13A-757F91ACD7A7}">
  <dimension ref="B2:B29"/>
  <sheetViews>
    <sheetView showGridLines="0" tabSelected="1" workbookViewId="0">
      <selection activeCell="D21" sqref="D21"/>
    </sheetView>
  </sheetViews>
  <sheetFormatPr defaultRowHeight="15" x14ac:dyDescent="0.25"/>
  <cols>
    <col min="2" max="2" width="121.140625" bestFit="1" customWidth="1"/>
  </cols>
  <sheetData>
    <row r="2" spans="2:2" ht="18.75" x14ac:dyDescent="0.25">
      <c r="B2" s="12" t="s">
        <v>893</v>
      </c>
    </row>
    <row r="3" spans="2:2" ht="15.75" x14ac:dyDescent="0.25">
      <c r="B3" s="13" t="s">
        <v>869</v>
      </c>
    </row>
    <row r="4" spans="2:2" x14ac:dyDescent="0.25">
      <c r="B4" t="s">
        <v>894</v>
      </c>
    </row>
    <row r="5" spans="2:2" x14ac:dyDescent="0.25">
      <c r="B5" t="s">
        <v>870</v>
      </c>
    </row>
    <row r="6" spans="2:2" x14ac:dyDescent="0.25">
      <c r="B6" t="s">
        <v>871</v>
      </c>
    </row>
    <row r="7" spans="2:2" x14ac:dyDescent="0.25">
      <c r="B7" t="s">
        <v>872</v>
      </c>
    </row>
    <row r="8" spans="2:2" ht="15.75" x14ac:dyDescent="0.25">
      <c r="B8" s="13" t="s">
        <v>873</v>
      </c>
    </row>
    <row r="9" spans="2:2" x14ac:dyDescent="0.25">
      <c r="B9" t="s">
        <v>874</v>
      </c>
    </row>
    <row r="10" spans="2:2" x14ac:dyDescent="0.25">
      <c r="B10" t="s">
        <v>875</v>
      </c>
    </row>
    <row r="11" spans="2:2" x14ac:dyDescent="0.25">
      <c r="B11" t="s">
        <v>876</v>
      </c>
    </row>
    <row r="12" spans="2:2" x14ac:dyDescent="0.25">
      <c r="B12" t="s">
        <v>877</v>
      </c>
    </row>
    <row r="13" spans="2:2" ht="15.75" x14ac:dyDescent="0.25">
      <c r="B13" s="13" t="s">
        <v>878</v>
      </c>
    </row>
    <row r="14" spans="2:2" x14ac:dyDescent="0.25">
      <c r="B14" t="s">
        <v>879</v>
      </c>
    </row>
    <row r="15" spans="2:2" x14ac:dyDescent="0.25">
      <c r="B15" t="s">
        <v>880</v>
      </c>
    </row>
    <row r="16" spans="2:2" x14ac:dyDescent="0.25">
      <c r="B16" t="s">
        <v>881</v>
      </c>
    </row>
    <row r="17" spans="2:2" ht="15.75" x14ac:dyDescent="0.25">
      <c r="B17" s="13" t="s">
        <v>882</v>
      </c>
    </row>
    <row r="18" spans="2:2" x14ac:dyDescent="0.25">
      <c r="B18" t="s">
        <v>883</v>
      </c>
    </row>
    <row r="19" spans="2:2" x14ac:dyDescent="0.25">
      <c r="B19" t="s">
        <v>884</v>
      </c>
    </row>
    <row r="20" spans="2:2" x14ac:dyDescent="0.25">
      <c r="B20" t="s">
        <v>885</v>
      </c>
    </row>
    <row r="22" spans="2:2" x14ac:dyDescent="0.25">
      <c r="B22" s="11" t="s">
        <v>886</v>
      </c>
    </row>
    <row r="23" spans="2:2" x14ac:dyDescent="0.25">
      <c r="B23" t="s">
        <v>887</v>
      </c>
    </row>
    <row r="24" spans="2:2" x14ac:dyDescent="0.25">
      <c r="B24" t="s">
        <v>889</v>
      </c>
    </row>
    <row r="25" spans="2:2" x14ac:dyDescent="0.25">
      <c r="B25" t="s">
        <v>890</v>
      </c>
    </row>
    <row r="26" spans="2:2" x14ac:dyDescent="0.25">
      <c r="B26" t="s">
        <v>891</v>
      </c>
    </row>
    <row r="27" spans="2:2" x14ac:dyDescent="0.25">
      <c r="B27" t="s">
        <v>895</v>
      </c>
    </row>
    <row r="28" spans="2:2" x14ac:dyDescent="0.25">
      <c r="B28" t="s">
        <v>892</v>
      </c>
    </row>
    <row r="29" spans="2:2" x14ac:dyDescent="0.25">
      <c r="B29" t="s">
        <v>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MasterDatabse</vt:lpstr>
      <vt:lpstr>Privot</vt:lpstr>
      <vt:lpstr>Sheet3</vt:lpstr>
      <vt:lpstr>Sheet1</vt:lpstr>
      <vt:lpstr>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Md Anisur Rahman</cp:lastModifiedBy>
  <dcterms:created xsi:type="dcterms:W3CDTF">2015-06-05T18:17:20Z</dcterms:created>
  <dcterms:modified xsi:type="dcterms:W3CDTF">2026-03-09T17:30:05Z</dcterms:modified>
</cp:coreProperties>
</file>