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FIT\Desktop\Inception\Inception\Manufacturing\"/>
    </mc:Choice>
  </mc:AlternateContent>
  <xr:revisionPtr revIDLastSave="0" documentId="13_ncr:1_{9FAB5A16-FD65-409D-B457-BB384815B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" sheetId="7" r:id="rId1"/>
    <sheet name="Sheet1" sheetId="8" r:id="rId2"/>
    <sheet name="Formula" sheetId="2" r:id="rId3"/>
    <sheet name="Sheet3" sheetId="3" r:id="rId4"/>
  </sheets>
  <definedNames>
    <definedName name="_xlnm._FilterDatabase" localSheetId="2" hidden="1">Formula!$B$2:$E$9</definedName>
    <definedName name="_xlnm._FilterDatabase" localSheetId="0" hidden="1">HR!$A$1:$O$410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2" l="1" a="1"/>
  <c r="N22" i="2" s="1"/>
  <c r="B18" i="2" a="1"/>
  <c r="B18" i="2" s="1"/>
  <c r="N15" i="2" a="1"/>
  <c r="N15" i="2" s="1"/>
  <c r="J6" i="2"/>
  <c r="Y20" i="2"/>
  <c r="Y21" i="2"/>
  <c r="Y14" i="2"/>
  <c r="I9" i="8"/>
  <c r="H9" i="8"/>
  <c r="X14" i="2"/>
  <c r="O9" i="2"/>
  <c r="X10" i="2"/>
  <c r="Y11" i="2"/>
  <c r="Y12" i="2"/>
  <c r="X11" i="2"/>
  <c r="X12" i="2"/>
  <c r="Y10" i="2"/>
  <c r="I22" i="2" a="1"/>
  <c r="I22" i="2" s="1"/>
  <c r="I15" i="2" a="1"/>
  <c r="I15" i="2" s="1"/>
  <c r="J5" i="2"/>
  <c r="J4" i="2"/>
  <c r="J3" i="2"/>
  <c r="G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<sst xmlns="http://schemas.openxmlformats.org/spreadsheetml/2006/main" count="5037" uniqueCount="898">
  <si>
    <t>Name</t>
  </si>
  <si>
    <t>Department</t>
  </si>
  <si>
    <t>Designation</t>
  </si>
  <si>
    <t>Employee Category</t>
  </si>
  <si>
    <t>Employee Type</t>
  </si>
  <si>
    <t>Date of confirmation</t>
  </si>
  <si>
    <t>Date of Join</t>
  </si>
  <si>
    <t>Gender</t>
  </si>
  <si>
    <t>Marital Status</t>
  </si>
  <si>
    <t>Blood Group</t>
  </si>
  <si>
    <t>Present Address</t>
  </si>
  <si>
    <t>Distance</t>
  </si>
  <si>
    <t>Shanta Priya</t>
  </si>
  <si>
    <t>Packing Dept.</t>
  </si>
  <si>
    <t>Line Operator</t>
  </si>
  <si>
    <t xml:space="preserve">Management </t>
  </si>
  <si>
    <t>Permanent</t>
  </si>
  <si>
    <t>Male</t>
  </si>
  <si>
    <t>Single</t>
  </si>
  <si>
    <t>B+</t>
  </si>
  <si>
    <t>Gazipura 27</t>
  </si>
  <si>
    <t>1km -3km</t>
  </si>
  <si>
    <t>Md. Abdul Kader</t>
  </si>
  <si>
    <t>Administration Dept.</t>
  </si>
  <si>
    <t xml:space="preserve">Indiract </t>
  </si>
  <si>
    <t>Probation</t>
  </si>
  <si>
    <t>A+</t>
  </si>
  <si>
    <t>Md. Sagor Hossain</t>
  </si>
  <si>
    <t>Production Dept.</t>
  </si>
  <si>
    <t>Married</t>
  </si>
  <si>
    <t>O+</t>
  </si>
  <si>
    <t>Uttara</t>
  </si>
  <si>
    <t>5-10km</t>
  </si>
  <si>
    <t>Masud Islam Fahim</t>
  </si>
  <si>
    <t>Quality Dept.</t>
  </si>
  <si>
    <t>Loader</t>
  </si>
  <si>
    <t>Bonmala Road</t>
  </si>
  <si>
    <t>3km-5km</t>
  </si>
  <si>
    <t>Md. Manik Mia</t>
  </si>
  <si>
    <t>Khilkhet</t>
  </si>
  <si>
    <t>10-15km</t>
  </si>
  <si>
    <t>Md. Shajibur Rahaman</t>
  </si>
  <si>
    <t>Limon</t>
  </si>
  <si>
    <t>Arman Hossen</t>
  </si>
  <si>
    <t>AB+</t>
  </si>
  <si>
    <t>Md. Raju Mia</t>
  </si>
  <si>
    <t>Md. Ammar Hossain</t>
  </si>
  <si>
    <t>Nadim Al Kamal Murad</t>
  </si>
  <si>
    <t>Manik Sharker</t>
  </si>
  <si>
    <t>Samiul Hoque</t>
  </si>
  <si>
    <t>Gazipur Chowrasta</t>
  </si>
  <si>
    <t>Rashid Mahmud</t>
  </si>
  <si>
    <t>O-</t>
  </si>
  <si>
    <t>Md. Riad Hasan</t>
  </si>
  <si>
    <t xml:space="preserve">Diract </t>
  </si>
  <si>
    <t>Md. Junied Mahtav Muin</t>
  </si>
  <si>
    <t>Mst. Muslima</t>
  </si>
  <si>
    <t>Human Resource Dept.</t>
  </si>
  <si>
    <t>Female</t>
  </si>
  <si>
    <t>Md. Jahid Hasan Joy</t>
  </si>
  <si>
    <t>Reduyan Ahmed Ajmir</t>
  </si>
  <si>
    <t>Md. Sajib Hossain</t>
  </si>
  <si>
    <t>Rayhan Habib</t>
  </si>
  <si>
    <t>Md. Al Amin Hossain Shanto</t>
  </si>
  <si>
    <t>Nazmul Islam</t>
  </si>
  <si>
    <t>Pallab Bhowmick</t>
  </si>
  <si>
    <t>Board Bazar</t>
  </si>
  <si>
    <t>Md.Aminur Rahman</t>
  </si>
  <si>
    <t>Md.Musfiqur Rahman</t>
  </si>
  <si>
    <t>Mohammadpur</t>
  </si>
  <si>
    <t>20km-30km</t>
  </si>
  <si>
    <t>Md.Maruf Hossen</t>
  </si>
  <si>
    <t>Nazmul Hossain</t>
  </si>
  <si>
    <t>Shohag</t>
  </si>
  <si>
    <t>Nazmul Hosasain</t>
  </si>
  <si>
    <t>Sujon Mia</t>
  </si>
  <si>
    <t>Shourov Miah</t>
  </si>
  <si>
    <t>N/A</t>
  </si>
  <si>
    <t>Boro Bari</t>
  </si>
  <si>
    <t>Abdul Kayyum</t>
  </si>
  <si>
    <t>Hossen Market</t>
  </si>
  <si>
    <t>Aminul Islam</t>
  </si>
  <si>
    <t>Rafiu Ahmed</t>
  </si>
  <si>
    <t>Sign board</t>
  </si>
  <si>
    <t>Rubel Rana</t>
  </si>
  <si>
    <t>Toyon Babu</t>
  </si>
  <si>
    <t>Md. Sanoar Islam Shadin</t>
  </si>
  <si>
    <t xml:space="preserve">Mizanur Rahman </t>
  </si>
  <si>
    <t>Tanjim Ahmed</t>
  </si>
  <si>
    <t>Sahara Akter Bristy</t>
  </si>
  <si>
    <t>Shahadat Hossain</t>
  </si>
  <si>
    <t>Nittananda Das</t>
  </si>
  <si>
    <t>A-</t>
  </si>
  <si>
    <t xml:space="preserve">Milon Hossain </t>
  </si>
  <si>
    <t>Hassan Mahmud</t>
  </si>
  <si>
    <t>Mst. Happy</t>
  </si>
  <si>
    <t>B-</t>
  </si>
  <si>
    <t>Kamrul Hasan</t>
  </si>
  <si>
    <t>Mahenur Islam</t>
  </si>
  <si>
    <t>Md. Samiul Islam</t>
  </si>
  <si>
    <t>Sohana akter sonia</t>
  </si>
  <si>
    <t>Ananna Pervin</t>
  </si>
  <si>
    <t>Sorovi</t>
  </si>
  <si>
    <t>Kulsum Akter</t>
  </si>
  <si>
    <t>Antora Khatun</t>
  </si>
  <si>
    <t>Rokrya Akter Eti</t>
  </si>
  <si>
    <t>Sumaiya Khanom</t>
  </si>
  <si>
    <t>Executive</t>
  </si>
  <si>
    <t>Sumaya Akter</t>
  </si>
  <si>
    <t>Gazipur Sadar</t>
  </si>
  <si>
    <t>Armina Akter Akhi</t>
  </si>
  <si>
    <t>Manager</t>
  </si>
  <si>
    <t>Md. Nadim Mahmud</t>
  </si>
  <si>
    <t>Md. Minhajul Islam</t>
  </si>
  <si>
    <t>Senior Eecutive</t>
  </si>
  <si>
    <t>Md. Yousuf Ali</t>
  </si>
  <si>
    <t>Md. Nafish Muthashim Ratul</t>
  </si>
  <si>
    <t>Md. Babu Mia</t>
  </si>
  <si>
    <t>Hasi Akter</t>
  </si>
  <si>
    <t>Sumon Mia</t>
  </si>
  <si>
    <t>Vogra Baypass</t>
  </si>
  <si>
    <t>Rakibul Islam</t>
  </si>
  <si>
    <t>Assistant Manager</t>
  </si>
  <si>
    <t xml:space="preserve">Sudip Chandra </t>
  </si>
  <si>
    <t xml:space="preserve">Merajul </t>
  </si>
  <si>
    <t>Assistant Leader</t>
  </si>
  <si>
    <t>Rashedul Islam</t>
  </si>
  <si>
    <t>Line Leader</t>
  </si>
  <si>
    <t>Shamim Hossen</t>
  </si>
  <si>
    <t>PMC &amp; Warehouse Dept.</t>
  </si>
  <si>
    <t>Mahafuj Zim Megh</t>
  </si>
  <si>
    <t>Tarikul Islam</t>
  </si>
  <si>
    <t>Md. Mahfujur Rahman</t>
  </si>
  <si>
    <t>Prarvin Akter</t>
  </si>
  <si>
    <t>Mahmudul Hasan</t>
  </si>
  <si>
    <t>Mehedi Hasan Shanto</t>
  </si>
  <si>
    <t>Safikul Islam Emon</t>
  </si>
  <si>
    <t>Ershad Nagar</t>
  </si>
  <si>
    <t>Nazmul Islam Emon</t>
  </si>
  <si>
    <t>Junaed Hasan</t>
  </si>
  <si>
    <t>Gacha</t>
  </si>
  <si>
    <t>Din Mohammed Rabbi</t>
  </si>
  <si>
    <t>Fazlul Haque</t>
  </si>
  <si>
    <t>Md. Faruk Hossain</t>
  </si>
  <si>
    <t>Md. Shihab Uddin</t>
  </si>
  <si>
    <t>Masum Rana</t>
  </si>
  <si>
    <t>Md. Imran Hossain</t>
  </si>
  <si>
    <t>Mahafuzur Rahman</t>
  </si>
  <si>
    <t>Md. Shahrier Nayeem</t>
  </si>
  <si>
    <t>Faysal Hossain</t>
  </si>
  <si>
    <t>Sabbir Hossain Sagor</t>
  </si>
  <si>
    <t>Faysal Mahamud</t>
  </si>
  <si>
    <t>Sojib Hossain</t>
  </si>
  <si>
    <t>Rahul Mia</t>
  </si>
  <si>
    <t>Munni Akter</t>
  </si>
  <si>
    <t>Tonima Shams</t>
  </si>
  <si>
    <t>Nadia Sultana Beauty</t>
  </si>
  <si>
    <t>Shimultoli</t>
  </si>
  <si>
    <t>College Gate</t>
  </si>
  <si>
    <t>Samsur Rahman Shakil</t>
  </si>
  <si>
    <t>Md. Nahid Hasan Shaon</t>
  </si>
  <si>
    <t>Mouchak</t>
  </si>
  <si>
    <t>Bason</t>
  </si>
  <si>
    <t>5km-10km</t>
  </si>
  <si>
    <t>Airport</t>
  </si>
  <si>
    <t>Hariken</t>
  </si>
  <si>
    <t>Mohibul Hasan</t>
  </si>
  <si>
    <t>Tongi Bazar</t>
  </si>
  <si>
    <t>Md. Farhad Mia</t>
  </si>
  <si>
    <t>Md. Limon Miah</t>
  </si>
  <si>
    <t>Md. Nazmul Hossain</t>
  </si>
  <si>
    <t>Md. Nahidul Islam</t>
  </si>
  <si>
    <t>Mst. Nowshin Akter</t>
  </si>
  <si>
    <t>Nowshad Jahan</t>
  </si>
  <si>
    <t>Khadija Akter Mukta</t>
  </si>
  <si>
    <t>Rafia Sultana Rabu</t>
  </si>
  <si>
    <t>Most. Asrifa Jarin</t>
  </si>
  <si>
    <t>Sumaya Akter Suma</t>
  </si>
  <si>
    <t>Mst. Lucky Khatun</t>
  </si>
  <si>
    <t>Fardus Ahmed</t>
  </si>
  <si>
    <t>Md. Alamin</t>
  </si>
  <si>
    <t>Md. Nosib Uddin</t>
  </si>
  <si>
    <t>Md. Mostafizur Rahman</t>
  </si>
  <si>
    <t>Md. Habibur Rahman Habib</t>
  </si>
  <si>
    <t>Asif Khan Jihad</t>
  </si>
  <si>
    <t>Md. Rasel Mia</t>
  </si>
  <si>
    <t>Apu Kumar Shaha</t>
  </si>
  <si>
    <t>Ashraful Islam</t>
  </si>
  <si>
    <t>Md. Abdul Matin</t>
  </si>
  <si>
    <t>Samia Akter</t>
  </si>
  <si>
    <t>Md. Jahid Hossain Mamun</t>
  </si>
  <si>
    <t>Elias Hossain</t>
  </si>
  <si>
    <t>Md. Shohan Mia</t>
  </si>
  <si>
    <t>Md. Shahariyer Hasan Fahim Khondoker</t>
  </si>
  <si>
    <t>Abu Hanif Sarker</t>
  </si>
  <si>
    <t>Monirul Islam</t>
  </si>
  <si>
    <t>Nadim Hossain</t>
  </si>
  <si>
    <t>Ismail Jofiullah</t>
  </si>
  <si>
    <t>Md. Shahparan Hossen</t>
  </si>
  <si>
    <t>Khadiza Khatun</t>
  </si>
  <si>
    <t>Sultana Razia</t>
  </si>
  <si>
    <t>Kamrun Nahar Dipti</t>
  </si>
  <si>
    <t>Jafrina Alam Jannat</t>
  </si>
  <si>
    <t>Tania Akter</t>
  </si>
  <si>
    <t>Razia</t>
  </si>
  <si>
    <t>Shamir Das</t>
  </si>
  <si>
    <t>Nurul Islam</t>
  </si>
  <si>
    <t>Murshida Khatun</t>
  </si>
  <si>
    <t>Nilufa Akter Lily</t>
  </si>
  <si>
    <t>Modina Chowdhury</t>
  </si>
  <si>
    <t>Md. Ali Al Nur Mahi</t>
  </si>
  <si>
    <t>Md. Mehedi Hassan</t>
  </si>
  <si>
    <t>Hasnat Shah Emon</t>
  </si>
  <si>
    <t>Al Amin</t>
  </si>
  <si>
    <t>Md. Borhan Miah</t>
  </si>
  <si>
    <t>Rasidul Islam</t>
  </si>
  <si>
    <t>Most. Tania Sultana</t>
  </si>
  <si>
    <t>Khadiza Akter</t>
  </si>
  <si>
    <t>Amina Akter</t>
  </si>
  <si>
    <t>Sagar Raha</t>
  </si>
  <si>
    <t>Md. Shamim Hossain</t>
  </si>
  <si>
    <t>Md. Rofiqul Islam Khan</t>
  </si>
  <si>
    <t>Sifat Ullah Chowdury</t>
  </si>
  <si>
    <t>Mamun Mia</t>
  </si>
  <si>
    <t>Md. Rasel Sikdar</t>
  </si>
  <si>
    <t>Gulshan Negar Khan Tumpa</t>
  </si>
  <si>
    <t>Aysha Akter</t>
  </si>
  <si>
    <t>Mosammad Shamsunnahar</t>
  </si>
  <si>
    <t>Jannatul Ferdusy Keya</t>
  </si>
  <si>
    <t>Fatama Akter Mitu</t>
  </si>
  <si>
    <t>Mst. Rupali Akter</t>
  </si>
  <si>
    <t>Monira Akter</t>
  </si>
  <si>
    <t>Shawon Kabir Hira</t>
  </si>
  <si>
    <t>Md. Raihanul Haque</t>
  </si>
  <si>
    <t>Swapna Akter Runa</t>
  </si>
  <si>
    <t>Mst. Liza Moni</t>
  </si>
  <si>
    <t>Sathia Akter</t>
  </si>
  <si>
    <t>Sumaya Shemu</t>
  </si>
  <si>
    <t>Aktarina Khatun</t>
  </si>
  <si>
    <t>Simanto Roy</t>
  </si>
  <si>
    <t>Atikur Rahman</t>
  </si>
  <si>
    <t>Tahmina Akter</t>
  </si>
  <si>
    <t>Tahia Akther Dina</t>
  </si>
  <si>
    <t>Shabnur Akter</t>
  </si>
  <si>
    <t>Prity Rani sarker</t>
  </si>
  <si>
    <t>Mursheda</t>
  </si>
  <si>
    <t>Zakia akter Jui</t>
  </si>
  <si>
    <t>Sultan Mahmud</t>
  </si>
  <si>
    <t>Shakil Mia</t>
  </si>
  <si>
    <t>Md. Chonok Mia</t>
  </si>
  <si>
    <t>Md. Suhad Un Nabby Sohag</t>
  </si>
  <si>
    <t>Md. Hridoy Mia</t>
  </si>
  <si>
    <t>Rafiqul Islam Rabbi</t>
  </si>
  <si>
    <t>Kolambiya</t>
  </si>
  <si>
    <t>Sumaiya Akter</t>
  </si>
  <si>
    <t>Md. Mamunur Rashid Mamun</t>
  </si>
  <si>
    <t>Md. Monir Uzzaman</t>
  </si>
  <si>
    <t>Mst. Monika Akter</t>
  </si>
  <si>
    <t>Md. Ali Hamza Sagor</t>
  </si>
  <si>
    <t>Mehedi Hasan Shahed</t>
  </si>
  <si>
    <t>Shajib Ahmed</t>
  </si>
  <si>
    <t>Md. Parvez</t>
  </si>
  <si>
    <t>Mahfuja Benta Mubarak</t>
  </si>
  <si>
    <t>Most. Saima Khanum Doly</t>
  </si>
  <si>
    <t>Suma Khatun</t>
  </si>
  <si>
    <t>Md. Alek Sardar</t>
  </si>
  <si>
    <t>Md. Zawad Bin Mostafa</t>
  </si>
  <si>
    <t>Marjana</t>
  </si>
  <si>
    <t>Mst. Mim</t>
  </si>
  <si>
    <t>Sumaya Akter Mim</t>
  </si>
  <si>
    <t>Taslima Akter</t>
  </si>
  <si>
    <t>AB-</t>
  </si>
  <si>
    <t xml:space="preserve">Boro Bari </t>
  </si>
  <si>
    <t>Md. Abu Nayim</t>
  </si>
  <si>
    <t>Tithi Biswas</t>
  </si>
  <si>
    <t>Samapto Bala Uraw</t>
  </si>
  <si>
    <t>Rita Akter Ety</t>
  </si>
  <si>
    <t>Md. Arman Ahmeed</t>
  </si>
  <si>
    <t>G.M Golam Mostafa</t>
  </si>
  <si>
    <t>Meher Afrin Moli</t>
  </si>
  <si>
    <t>Khadija islam Mou</t>
  </si>
  <si>
    <t>Md. Rakibul Hasan</t>
  </si>
  <si>
    <t>Afroja Akter Kona</t>
  </si>
  <si>
    <t>Moriam Akter</t>
  </si>
  <si>
    <t>Md.Naiem Miah</t>
  </si>
  <si>
    <t>Sadhon Kumar Sarker</t>
  </si>
  <si>
    <t>Meghla Akter</t>
  </si>
  <si>
    <t>Naznin Nahar</t>
  </si>
  <si>
    <t>Md. Roni Miah</t>
  </si>
  <si>
    <t>Md. Sujon Mia</t>
  </si>
  <si>
    <t>Md. Masum Mia</t>
  </si>
  <si>
    <t>Mithun Paul</t>
  </si>
  <si>
    <t>Mohammad Billal Hosen</t>
  </si>
  <si>
    <t>Kaiyoum Sikder</t>
  </si>
  <si>
    <t>Md. Antor Ali</t>
  </si>
  <si>
    <t>Md. Shakil Hossain</t>
  </si>
  <si>
    <t>Md. Jehad Hossain</t>
  </si>
  <si>
    <t>Iffatara Mitu</t>
  </si>
  <si>
    <t>Md. Oli Bahar</t>
  </si>
  <si>
    <t>Md. Yamin Hossain</t>
  </si>
  <si>
    <t>Mamunur Rashid</t>
  </si>
  <si>
    <t>Nure Alam Siddiki</t>
  </si>
  <si>
    <t>Rana</t>
  </si>
  <si>
    <t>Charagali</t>
  </si>
  <si>
    <t>Choyon Kumar Shill</t>
  </si>
  <si>
    <t>Farhaduzzaman</t>
  </si>
  <si>
    <t>Shahriar Ahmed</t>
  </si>
  <si>
    <t>Md. Tarikul Islam Raju</t>
  </si>
  <si>
    <t>Dipali Akter</t>
  </si>
  <si>
    <t>Monalisa Akter</t>
  </si>
  <si>
    <t>Amena Akter</t>
  </si>
  <si>
    <t>Jannatul Fedous Rumi</t>
  </si>
  <si>
    <t>Parama Biswas</t>
  </si>
  <si>
    <t>Mst. Ummey Habiba</t>
  </si>
  <si>
    <t>Bithe Akter</t>
  </si>
  <si>
    <t>Md. Shohag Shaikh</t>
  </si>
  <si>
    <t>Muni Akter</t>
  </si>
  <si>
    <t>Md. Mahfuzur Rahman</t>
  </si>
  <si>
    <t>Md. Abdul Momin</t>
  </si>
  <si>
    <t>Md. Imam Hossain Siam</t>
  </si>
  <si>
    <t>Rita Akter</t>
  </si>
  <si>
    <t>Tanjina Akter Mukta</t>
  </si>
  <si>
    <t>Mahadi Hasan</t>
  </si>
  <si>
    <t>Md. Sohag</t>
  </si>
  <si>
    <t>Md. Mahafuj Ali</t>
  </si>
  <si>
    <t>Rezaul Islam Sajib</t>
  </si>
  <si>
    <t>Rezuan Ullah</t>
  </si>
  <si>
    <t>Pobitra Chandra</t>
  </si>
  <si>
    <t>Mostafizur Rahman</t>
  </si>
  <si>
    <t>Joy Chondro Dus</t>
  </si>
  <si>
    <t>Hosneara</t>
  </si>
  <si>
    <t>Easha Moni</t>
  </si>
  <si>
    <t>Riad Talukdar</t>
  </si>
  <si>
    <t>Mujahidul Islam</t>
  </si>
  <si>
    <t>Mohon</t>
  </si>
  <si>
    <t>Cleaner</t>
  </si>
  <si>
    <t>Md. Sujon  Ali Shekh</t>
  </si>
  <si>
    <t>Md. Al Rafi</t>
  </si>
  <si>
    <t>Sakib Ahmed Nobi</t>
  </si>
  <si>
    <t>Md. Zamil Hossen</t>
  </si>
  <si>
    <t>Jannatul Fardaus</t>
  </si>
  <si>
    <t>Roxi Akter Bristi</t>
  </si>
  <si>
    <t>Zahid Hasan</t>
  </si>
  <si>
    <t>Md. Emon Hossain</t>
  </si>
  <si>
    <t>Nadiya Akter Setu</t>
  </si>
  <si>
    <t>Mst. Ayesha Begum</t>
  </si>
  <si>
    <t>Md. Saiful Islam</t>
  </si>
  <si>
    <t>Shahin Alam</t>
  </si>
  <si>
    <t>Asif Hasan Jisan</t>
  </si>
  <si>
    <t>Md. Jahidul Islam</t>
  </si>
  <si>
    <t>Mst. Sammi Akter</t>
  </si>
  <si>
    <t>Banna Akter</t>
  </si>
  <si>
    <t>Afrin Akter Akhi</t>
  </si>
  <si>
    <t>Liza Akter Laboni</t>
  </si>
  <si>
    <t>Md. Nadim Hossain Choyon</t>
  </si>
  <si>
    <t>Khadeja Akter Anika</t>
  </si>
  <si>
    <t>Jerin</t>
  </si>
  <si>
    <t>Azimpur Dhaka</t>
  </si>
  <si>
    <t>Mukta Moni</t>
  </si>
  <si>
    <t>Azizul Hakim</t>
  </si>
  <si>
    <t>Kunia</t>
  </si>
  <si>
    <t>Khairul Islam Sagor</t>
  </si>
  <si>
    <t>Md. Masud Rana</t>
  </si>
  <si>
    <t>Rima Akter</t>
  </si>
  <si>
    <t>Hridoy Hossain Khan</t>
  </si>
  <si>
    <t>Saboj Mia</t>
  </si>
  <si>
    <t>Fatama Iti</t>
  </si>
  <si>
    <t>Rimu Akter</t>
  </si>
  <si>
    <t>Dolon Akter Prova</t>
  </si>
  <si>
    <t>Sabiha Sultana Masuma</t>
  </si>
  <si>
    <t>Md. Azizul Islam</t>
  </si>
  <si>
    <t>Ebrahim Miah</t>
  </si>
  <si>
    <t>Md. Mirajul Islam</t>
  </si>
  <si>
    <t>Rabaya Sultana</t>
  </si>
  <si>
    <t>Sagar Modak</t>
  </si>
  <si>
    <t>Sudip Modak</t>
  </si>
  <si>
    <t>Neloy Kumar</t>
  </si>
  <si>
    <t>Md. Omar Faruk</t>
  </si>
  <si>
    <t>Md. Tarmin Hosen Rana</t>
  </si>
  <si>
    <t>Md. Sobuz Ahmed Shuvo</t>
  </si>
  <si>
    <t>Suvha Chandra Sarker</t>
  </si>
  <si>
    <t>Sima Roy</t>
  </si>
  <si>
    <t>Rabeya Akter Tanjila</t>
  </si>
  <si>
    <t>Md. Shanto Mia</t>
  </si>
  <si>
    <t>Rakib Kazi</t>
  </si>
  <si>
    <t>Aminul Islam Pappu</t>
  </si>
  <si>
    <t>Nazmul Akondo</t>
  </si>
  <si>
    <t>Md. Ripon Sheikh</t>
  </si>
  <si>
    <t>Hamim Zubaed Shuvo</t>
  </si>
  <si>
    <t>Easrat Jahan</t>
  </si>
  <si>
    <t>Sadia Akter Nitu</t>
  </si>
  <si>
    <t>Isahik Kazi</t>
  </si>
  <si>
    <t>Md. Asharat Hossain</t>
  </si>
  <si>
    <t>Mst. Asma Begum</t>
  </si>
  <si>
    <t>Miss. Rima Khatun</t>
  </si>
  <si>
    <t>Md. Ariful Islam</t>
  </si>
  <si>
    <t>Md. Nazmul Hassan</t>
  </si>
  <si>
    <t>Reshma Rahman</t>
  </si>
  <si>
    <t>Tamanna Sultana Mim</t>
  </si>
  <si>
    <t>Kulsum Akter Mala</t>
  </si>
  <si>
    <t>Saruf Ahmed Antar</t>
  </si>
  <si>
    <t>Md. Saikhul Islam Siam</t>
  </si>
  <si>
    <t>Bishwajit Mandal</t>
  </si>
  <si>
    <t>Riaj Uddin</t>
  </si>
  <si>
    <t>Akia Akter</t>
  </si>
  <si>
    <t>Md. Sojib Mia</t>
  </si>
  <si>
    <t>Akash Ahmed</t>
  </si>
  <si>
    <t>Sahriar Hossain Fahim</t>
  </si>
  <si>
    <t>Sumaiya Akter Mim</t>
  </si>
  <si>
    <t>Md. Azizul Hakim Akash</t>
  </si>
  <si>
    <t>Md. Mehedi Hasan</t>
  </si>
  <si>
    <t>Md. Safayet Hossain Rifat</t>
  </si>
  <si>
    <t>Dipta Halder</t>
  </si>
  <si>
    <t>Md. Tarikul Islam Nahid</t>
  </si>
  <si>
    <t>Jonaky</t>
  </si>
  <si>
    <t>Nahid Khan</t>
  </si>
  <si>
    <t xml:space="preserve">Abu Hanif </t>
  </si>
  <si>
    <t>Md. Jubail Islam</t>
  </si>
  <si>
    <t>Adithy Roy</t>
  </si>
  <si>
    <t>Md. Nayon Mia</t>
  </si>
  <si>
    <t>Nur Rahman</t>
  </si>
  <si>
    <t>Md. Jobber Hossain</t>
  </si>
  <si>
    <t>Mst. Rokeya Roni</t>
  </si>
  <si>
    <t>Mahadul Islam</t>
  </si>
  <si>
    <t>Lamya Islam Tanjila</t>
  </si>
  <si>
    <t>Afsana Akter</t>
  </si>
  <si>
    <t>Md. Mosarof Hosen</t>
  </si>
  <si>
    <t>Bashundhara</t>
  </si>
  <si>
    <t>Md. Rayhan Sarker</t>
  </si>
  <si>
    <t>Suma Akter</t>
  </si>
  <si>
    <t>Mst. Somaiya Khanom Sumi</t>
  </si>
  <si>
    <t>Tamim Banu</t>
  </si>
  <si>
    <t>Eshita Akter</t>
  </si>
  <si>
    <t>Mst. Labony Akter</t>
  </si>
  <si>
    <t>Fareya Sultana</t>
  </si>
  <si>
    <t>Md. Shahajalal</t>
  </si>
  <si>
    <t>Md. Alamin Hossain</t>
  </si>
  <si>
    <t>Abdullah Al Mamun</t>
  </si>
  <si>
    <t>Md. Abdullah</t>
  </si>
  <si>
    <t>Support Staff</t>
  </si>
  <si>
    <t>Kaliakoir</t>
  </si>
  <si>
    <t>Sarah</t>
  </si>
  <si>
    <t>Sales</t>
  </si>
  <si>
    <t>James</t>
  </si>
  <si>
    <t>Tech</t>
  </si>
  <si>
    <t>Maria</t>
  </si>
  <si>
    <t>Alex</t>
  </si>
  <si>
    <t>HR</t>
  </si>
  <si>
    <t>Brian</t>
  </si>
  <si>
    <t>ID</t>
  </si>
  <si>
    <t>Dept</t>
  </si>
  <si>
    <t>Salary</t>
  </si>
  <si>
    <t>Xlookup</t>
  </si>
  <si>
    <t>Vlook up</t>
  </si>
  <si>
    <t>sumif</t>
  </si>
  <si>
    <t>SUMIFS</t>
  </si>
  <si>
    <t>Hlookup</t>
  </si>
  <si>
    <t>Filter</t>
  </si>
  <si>
    <t>Search</t>
  </si>
  <si>
    <t>Dep</t>
  </si>
  <si>
    <t/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</si>
  <si>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</si>
  <si>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</si>
  <si>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</si>
  <si>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</si>
  <si>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</si>
  <si>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</si>
  <si>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</si>
  <si>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</si>
  <si>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</si>
  <si>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</si>
  <si>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</si>
  <si>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</si>
  <si>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</si>
  <si>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Point</t>
  </si>
  <si>
    <t>Rank</t>
  </si>
  <si>
    <t>Percent</t>
  </si>
  <si>
    <t>Working status</t>
  </si>
  <si>
    <t>ACX1</t>
  </si>
  <si>
    <t>Active</t>
  </si>
  <si>
    <t>ACX2</t>
  </si>
  <si>
    <t>Resigned</t>
  </si>
  <si>
    <t>ACX3</t>
  </si>
  <si>
    <t>Fire</t>
  </si>
  <si>
    <t>ACX4</t>
  </si>
  <si>
    <t>ACX5</t>
  </si>
  <si>
    <t>ACX6</t>
  </si>
  <si>
    <t>ACX7</t>
  </si>
  <si>
    <t>ACX8</t>
  </si>
  <si>
    <t>ACX9</t>
  </si>
  <si>
    <t>ACX10</t>
  </si>
  <si>
    <t>ACX11</t>
  </si>
  <si>
    <t>ACX12</t>
  </si>
  <si>
    <t>ACX13</t>
  </si>
  <si>
    <t>ACX14</t>
  </si>
  <si>
    <t>ACX15</t>
  </si>
  <si>
    <t>ACX16</t>
  </si>
  <si>
    <t>ACX17</t>
  </si>
  <si>
    <t>ACX18</t>
  </si>
  <si>
    <t>ACX19</t>
  </si>
  <si>
    <t>ACX20</t>
  </si>
  <si>
    <t>ACX21</t>
  </si>
  <si>
    <t>ACX22</t>
  </si>
  <si>
    <t>ACX23</t>
  </si>
  <si>
    <t>ACX24</t>
  </si>
  <si>
    <t>ACX25</t>
  </si>
  <si>
    <t>ACX26</t>
  </si>
  <si>
    <t>ACX27</t>
  </si>
  <si>
    <t>ACX28</t>
  </si>
  <si>
    <t>ACX29</t>
  </si>
  <si>
    <t>ACX30</t>
  </si>
  <si>
    <t>ACX31</t>
  </si>
  <si>
    <t>ACX32</t>
  </si>
  <si>
    <t>ACX33</t>
  </si>
  <si>
    <t>ACX34</t>
  </si>
  <si>
    <t>ACX35</t>
  </si>
  <si>
    <t>ACX36</t>
  </si>
  <si>
    <t>ACX37</t>
  </si>
  <si>
    <t>ACX38</t>
  </si>
  <si>
    <t>ACX39</t>
  </si>
  <si>
    <t>ACX40</t>
  </si>
  <si>
    <t>ACX41</t>
  </si>
  <si>
    <t>ACX42</t>
  </si>
  <si>
    <t>ACX43</t>
  </si>
  <si>
    <t>ACX44</t>
  </si>
  <si>
    <t>ACX45</t>
  </si>
  <si>
    <t>ACX46</t>
  </si>
  <si>
    <t>ACX47</t>
  </si>
  <si>
    <t>ACX48</t>
  </si>
  <si>
    <t>ACX49</t>
  </si>
  <si>
    <t>ACX50</t>
  </si>
  <si>
    <t>ACX51</t>
  </si>
  <si>
    <t>ACX52</t>
  </si>
  <si>
    <t>ACX53</t>
  </si>
  <si>
    <t>ACX54</t>
  </si>
  <si>
    <t>ACX55</t>
  </si>
  <si>
    <t>ACX56</t>
  </si>
  <si>
    <t>ACX57</t>
  </si>
  <si>
    <t>ACX58</t>
  </si>
  <si>
    <t>ACX59</t>
  </si>
  <si>
    <t>ACX60</t>
  </si>
  <si>
    <t>ACX61</t>
  </si>
  <si>
    <t>ACX62</t>
  </si>
  <si>
    <t>ACX63</t>
  </si>
  <si>
    <t>ACX64</t>
  </si>
  <si>
    <t>ACX65</t>
  </si>
  <si>
    <t>ACX66</t>
  </si>
  <si>
    <t>ACX67</t>
  </si>
  <si>
    <t>ACX68</t>
  </si>
  <si>
    <t>ACX69</t>
  </si>
  <si>
    <t>ACX70</t>
  </si>
  <si>
    <t>ACX71</t>
  </si>
  <si>
    <t>ACX72</t>
  </si>
  <si>
    <t>ACX73</t>
  </si>
  <si>
    <t>ACX74</t>
  </si>
  <si>
    <t>ACX75</t>
  </si>
  <si>
    <t>ACX76</t>
  </si>
  <si>
    <t>ACX77</t>
  </si>
  <si>
    <t>ACX78</t>
  </si>
  <si>
    <t>ACX79</t>
  </si>
  <si>
    <t>ACX80</t>
  </si>
  <si>
    <t>ACX81</t>
  </si>
  <si>
    <t>ACX82</t>
  </si>
  <si>
    <t>ACX83</t>
  </si>
  <si>
    <t>ACX84</t>
  </si>
  <si>
    <t>ACX85</t>
  </si>
  <si>
    <t>ACX86</t>
  </si>
  <si>
    <t>ACX87</t>
  </si>
  <si>
    <t>ACX88</t>
  </si>
  <si>
    <t>ACX89</t>
  </si>
  <si>
    <t>ACX90</t>
  </si>
  <si>
    <t>ACX91</t>
  </si>
  <si>
    <t>ACX92</t>
  </si>
  <si>
    <t>ACX93</t>
  </si>
  <si>
    <t>ACX94</t>
  </si>
  <si>
    <t>ACX95</t>
  </si>
  <si>
    <t>ACX96</t>
  </si>
  <si>
    <t>ACX97</t>
  </si>
  <si>
    <t>ACX98</t>
  </si>
  <si>
    <t>ACX99</t>
  </si>
  <si>
    <t>ACX100</t>
  </si>
  <si>
    <t>ACX101</t>
  </si>
  <si>
    <t>ACX102</t>
  </si>
  <si>
    <t>ACX103</t>
  </si>
  <si>
    <t>ACX104</t>
  </si>
  <si>
    <t>ACX105</t>
  </si>
  <si>
    <t>ACX106</t>
  </si>
  <si>
    <t>ACX107</t>
  </si>
  <si>
    <t>ACX108</t>
  </si>
  <si>
    <t>ACX109</t>
  </si>
  <si>
    <t>ACX110</t>
  </si>
  <si>
    <t>ACX111</t>
  </si>
  <si>
    <t>ACX112</t>
  </si>
  <si>
    <t>ACX113</t>
  </si>
  <si>
    <t>ACX114</t>
  </si>
  <si>
    <t>ACX115</t>
  </si>
  <si>
    <t>ACX116</t>
  </si>
  <si>
    <t>ACX117</t>
  </si>
  <si>
    <t>ACX118</t>
  </si>
  <si>
    <t>ACX119</t>
  </si>
  <si>
    <t>Boro bari</t>
  </si>
  <si>
    <t>ACX120</t>
  </si>
  <si>
    <t>ACX121</t>
  </si>
  <si>
    <t>ACX122</t>
  </si>
  <si>
    <t>ACX123</t>
  </si>
  <si>
    <t>ACX124</t>
  </si>
  <si>
    <t>ACX125</t>
  </si>
  <si>
    <t>ACX126</t>
  </si>
  <si>
    <t>ACX127</t>
  </si>
  <si>
    <t>ACX128</t>
  </si>
  <si>
    <t>ACX129</t>
  </si>
  <si>
    <t>ACX130</t>
  </si>
  <si>
    <t>ACX131</t>
  </si>
  <si>
    <t>ACX132</t>
  </si>
  <si>
    <t>ACX133</t>
  </si>
  <si>
    <t>ACX134</t>
  </si>
  <si>
    <t>ACX135</t>
  </si>
  <si>
    <t>ACX136</t>
  </si>
  <si>
    <t>ACX137</t>
  </si>
  <si>
    <t>ACX138</t>
  </si>
  <si>
    <t>ACX139</t>
  </si>
  <si>
    <t>ACX140</t>
  </si>
  <si>
    <t>ACX141</t>
  </si>
  <si>
    <t>ACX142</t>
  </si>
  <si>
    <t>ACX143</t>
  </si>
  <si>
    <t>ACX144</t>
  </si>
  <si>
    <t>ACX145</t>
  </si>
  <si>
    <t>ACX146</t>
  </si>
  <si>
    <t>ACX147</t>
  </si>
  <si>
    <t>ACX148</t>
  </si>
  <si>
    <t>ACX149</t>
  </si>
  <si>
    <t>ACX150</t>
  </si>
  <si>
    <t>ACX151</t>
  </si>
  <si>
    <t>ACX152</t>
  </si>
  <si>
    <t>ACX153</t>
  </si>
  <si>
    <t>ACX154</t>
  </si>
  <si>
    <t>ACX155</t>
  </si>
  <si>
    <t>ACX156</t>
  </si>
  <si>
    <t>ACX157</t>
  </si>
  <si>
    <t>ACX158</t>
  </si>
  <si>
    <t>ACX159</t>
  </si>
  <si>
    <t>ACX160</t>
  </si>
  <si>
    <t>ACX161</t>
  </si>
  <si>
    <t>ACX162</t>
  </si>
  <si>
    <t>ACX163</t>
  </si>
  <si>
    <t>ACX164</t>
  </si>
  <si>
    <t>ACX165</t>
  </si>
  <si>
    <t>ACX166</t>
  </si>
  <si>
    <t>ACX167</t>
  </si>
  <si>
    <t>ACX168</t>
  </si>
  <si>
    <t>ACX169</t>
  </si>
  <si>
    <t>ACX170</t>
  </si>
  <si>
    <t>ACX171</t>
  </si>
  <si>
    <t>ACX172</t>
  </si>
  <si>
    <t>ACX173</t>
  </si>
  <si>
    <t>ACX174</t>
  </si>
  <si>
    <t>ACX175</t>
  </si>
  <si>
    <t>ACX176</t>
  </si>
  <si>
    <t>ACX177</t>
  </si>
  <si>
    <t>ACX178</t>
  </si>
  <si>
    <t>ACX179</t>
  </si>
  <si>
    <t>ACX180</t>
  </si>
  <si>
    <t>ACX181</t>
  </si>
  <si>
    <t>ACX182</t>
  </si>
  <si>
    <t>ACX183</t>
  </si>
  <si>
    <t>ACX184</t>
  </si>
  <si>
    <t>ACX185</t>
  </si>
  <si>
    <t>ACX186</t>
  </si>
  <si>
    <t>ACX187</t>
  </si>
  <si>
    <t>ACX188</t>
  </si>
  <si>
    <t>ACX189</t>
  </si>
  <si>
    <t>ACX190</t>
  </si>
  <si>
    <t>ACX191</t>
  </si>
  <si>
    <t>ACX192</t>
  </si>
  <si>
    <t>ACX193</t>
  </si>
  <si>
    <t>ACX194</t>
  </si>
  <si>
    <t>ACX195</t>
  </si>
  <si>
    <t>ACX196</t>
  </si>
  <si>
    <t>ACX197</t>
  </si>
  <si>
    <t>ACX198</t>
  </si>
  <si>
    <t>ACX199</t>
  </si>
  <si>
    <t>ACX200</t>
  </si>
  <si>
    <t>ACX201</t>
  </si>
  <si>
    <t>ACX202</t>
  </si>
  <si>
    <t>ACX203</t>
  </si>
  <si>
    <t>ACX204</t>
  </si>
  <si>
    <t>ACX205</t>
  </si>
  <si>
    <t>ACX206</t>
  </si>
  <si>
    <t>ACX207</t>
  </si>
  <si>
    <t>ACX208</t>
  </si>
  <si>
    <t>ACX209</t>
  </si>
  <si>
    <t>ACX210</t>
  </si>
  <si>
    <t>ACX211</t>
  </si>
  <si>
    <t>ACX212</t>
  </si>
  <si>
    <t>Gazipur sadar</t>
  </si>
  <si>
    <t>ACX213</t>
  </si>
  <si>
    <t>ACX214</t>
  </si>
  <si>
    <t>ACX215</t>
  </si>
  <si>
    <t>ACX216</t>
  </si>
  <si>
    <t>ACX217</t>
  </si>
  <si>
    <t>ACX218</t>
  </si>
  <si>
    <t>ACX219</t>
  </si>
  <si>
    <t>ACX220</t>
  </si>
  <si>
    <t>ACX221</t>
  </si>
  <si>
    <t>ACX222</t>
  </si>
  <si>
    <t>ACX223</t>
  </si>
  <si>
    <t>ACX224</t>
  </si>
  <si>
    <t>ACX225</t>
  </si>
  <si>
    <t>ACX226</t>
  </si>
  <si>
    <t>ACX227</t>
  </si>
  <si>
    <t>ACX228</t>
  </si>
  <si>
    <t>ACX229</t>
  </si>
  <si>
    <t>ACX230</t>
  </si>
  <si>
    <t>ACX231</t>
  </si>
  <si>
    <t>ACX232</t>
  </si>
  <si>
    <t>ACX233</t>
  </si>
  <si>
    <t>ACX234</t>
  </si>
  <si>
    <t>ACX235</t>
  </si>
  <si>
    <t>ACX236</t>
  </si>
  <si>
    <t>ACX237</t>
  </si>
  <si>
    <t>ACX238</t>
  </si>
  <si>
    <t>ACX239</t>
  </si>
  <si>
    <t>ACX240</t>
  </si>
  <si>
    <t>ACX241</t>
  </si>
  <si>
    <t>ACX242</t>
  </si>
  <si>
    <t>ACX243</t>
  </si>
  <si>
    <t>ACX244</t>
  </si>
  <si>
    <t>ACX245</t>
  </si>
  <si>
    <t>ACX246</t>
  </si>
  <si>
    <t>ACX247</t>
  </si>
  <si>
    <t>ACX248</t>
  </si>
  <si>
    <t>ACX249</t>
  </si>
  <si>
    <t>ACX250</t>
  </si>
  <si>
    <t>ACX251</t>
  </si>
  <si>
    <t>ACX252</t>
  </si>
  <si>
    <t>ACX253</t>
  </si>
  <si>
    <t>ACX254</t>
  </si>
  <si>
    <t>ACX255</t>
  </si>
  <si>
    <t>ACX256</t>
  </si>
  <si>
    <t>ACX257</t>
  </si>
  <si>
    <t>ACX258</t>
  </si>
  <si>
    <t>ACX259</t>
  </si>
  <si>
    <t>ACX260</t>
  </si>
  <si>
    <t>ACX261</t>
  </si>
  <si>
    <t>ACX262</t>
  </si>
  <si>
    <t>ACX263</t>
  </si>
  <si>
    <t>ACX264</t>
  </si>
  <si>
    <t>ACX265</t>
  </si>
  <si>
    <t>ACX266</t>
  </si>
  <si>
    <t>ACX267</t>
  </si>
  <si>
    <t>ACX268</t>
  </si>
  <si>
    <t>ACX269</t>
  </si>
  <si>
    <t>ACX270</t>
  </si>
  <si>
    <t>ACX271</t>
  </si>
  <si>
    <t>ACX272</t>
  </si>
  <si>
    <t>ACX273</t>
  </si>
  <si>
    <t>ACX274</t>
  </si>
  <si>
    <t>ACX275</t>
  </si>
  <si>
    <t>ACX276</t>
  </si>
  <si>
    <t>ACX277</t>
  </si>
  <si>
    <t>ACX278</t>
  </si>
  <si>
    <t>ACX279</t>
  </si>
  <si>
    <t>ACX280</t>
  </si>
  <si>
    <t>ACX281</t>
  </si>
  <si>
    <t>ACX282</t>
  </si>
  <si>
    <t>ACX283</t>
  </si>
  <si>
    <t>ACX284</t>
  </si>
  <si>
    <t>ACX285</t>
  </si>
  <si>
    <t>ACX286</t>
  </si>
  <si>
    <t>ACX287</t>
  </si>
  <si>
    <t>ACX288</t>
  </si>
  <si>
    <t>ACX289</t>
  </si>
  <si>
    <t>ACX290</t>
  </si>
  <si>
    <t>ACX291</t>
  </si>
  <si>
    <t>ACX292</t>
  </si>
  <si>
    <t>ACX293</t>
  </si>
  <si>
    <t>ACX294</t>
  </si>
  <si>
    <t>ACX295</t>
  </si>
  <si>
    <t>ACX296</t>
  </si>
  <si>
    <t>ACX297</t>
  </si>
  <si>
    <t>ACX298</t>
  </si>
  <si>
    <t>ACX299</t>
  </si>
  <si>
    <t>ACX300</t>
  </si>
  <si>
    <t>ACX301</t>
  </si>
  <si>
    <t>ACX302</t>
  </si>
  <si>
    <t>ACX303</t>
  </si>
  <si>
    <t>ACX304</t>
  </si>
  <si>
    <t>ACX305</t>
  </si>
  <si>
    <t>ACX306</t>
  </si>
  <si>
    <t>ACX307</t>
  </si>
  <si>
    <t>ACX308</t>
  </si>
  <si>
    <t>ACX309</t>
  </si>
  <si>
    <t>ACX310</t>
  </si>
  <si>
    <t>ACX311</t>
  </si>
  <si>
    <t>ACX312</t>
  </si>
  <si>
    <t>ACX313</t>
  </si>
  <si>
    <t>ACX314</t>
  </si>
  <si>
    <t>ACX315</t>
  </si>
  <si>
    <t>ACX316</t>
  </si>
  <si>
    <t>ACX317</t>
  </si>
  <si>
    <t>ACX318</t>
  </si>
  <si>
    <t>ACX319</t>
  </si>
  <si>
    <t>ACX320</t>
  </si>
  <si>
    <t>ACX321</t>
  </si>
  <si>
    <t>ACX322</t>
  </si>
  <si>
    <t>ACX323</t>
  </si>
  <si>
    <t>ACX324</t>
  </si>
  <si>
    <t>ACX325</t>
  </si>
  <si>
    <t>ACX326</t>
  </si>
  <si>
    <t>ACX327</t>
  </si>
  <si>
    <t>ACX328</t>
  </si>
  <si>
    <t>ACX329</t>
  </si>
  <si>
    <t>ACX330</t>
  </si>
  <si>
    <t>ACX331</t>
  </si>
  <si>
    <t>ACX332</t>
  </si>
  <si>
    <t>ACX333</t>
  </si>
  <si>
    <t>ACX334</t>
  </si>
  <si>
    <t>ACX335</t>
  </si>
  <si>
    <t>ACX336</t>
  </si>
  <si>
    <t>ACX337</t>
  </si>
  <si>
    <t>ACX338</t>
  </si>
  <si>
    <t>ACX339</t>
  </si>
  <si>
    <t>ACX340</t>
  </si>
  <si>
    <t>ACX341</t>
  </si>
  <si>
    <t>ACX342</t>
  </si>
  <si>
    <t>ACX343</t>
  </si>
  <si>
    <t>ACX344</t>
  </si>
  <si>
    <t>ACX345</t>
  </si>
  <si>
    <t>ACX346</t>
  </si>
  <si>
    <t>ACX347</t>
  </si>
  <si>
    <t>ACX348</t>
  </si>
  <si>
    <t>ACX349</t>
  </si>
  <si>
    <t>ACX350</t>
  </si>
  <si>
    <t>ACX351</t>
  </si>
  <si>
    <t>ACX352</t>
  </si>
  <si>
    <t>ACX353</t>
  </si>
  <si>
    <t>ACX354</t>
  </si>
  <si>
    <t>ACX355</t>
  </si>
  <si>
    <t>ACX356</t>
  </si>
  <si>
    <t>ACX357</t>
  </si>
  <si>
    <t>ACX358</t>
  </si>
  <si>
    <t>ACX359</t>
  </si>
  <si>
    <t>ACX360</t>
  </si>
  <si>
    <t>ACX361</t>
  </si>
  <si>
    <t>ACX362</t>
  </si>
  <si>
    <t>ACX363</t>
  </si>
  <si>
    <t>ACX364</t>
  </si>
  <si>
    <t>ACX365</t>
  </si>
  <si>
    <t>ACX366</t>
  </si>
  <si>
    <t>ACX367</t>
  </si>
  <si>
    <t>ACX368</t>
  </si>
  <si>
    <t>ACX369</t>
  </si>
  <si>
    <t>ACX370</t>
  </si>
  <si>
    <t>ACX371</t>
  </si>
  <si>
    <t>ACX372</t>
  </si>
  <si>
    <t>ACX373</t>
  </si>
  <si>
    <t>ACX374</t>
  </si>
  <si>
    <t>ACX375</t>
  </si>
  <si>
    <t>ACX376</t>
  </si>
  <si>
    <t>ACX377</t>
  </si>
  <si>
    <t>ACX378</t>
  </si>
  <si>
    <t>ACX379</t>
  </si>
  <si>
    <t>ACX380</t>
  </si>
  <si>
    <t>ACX381</t>
  </si>
  <si>
    <t>ACX382</t>
  </si>
  <si>
    <t>ACX383</t>
  </si>
  <si>
    <t>ACX384</t>
  </si>
  <si>
    <t>ACX385</t>
  </si>
  <si>
    <t>ACX386</t>
  </si>
  <si>
    <t>ACX387</t>
  </si>
  <si>
    <t>ACX388</t>
  </si>
  <si>
    <t>ACX389</t>
  </si>
  <si>
    <t>ACX390</t>
  </si>
  <si>
    <t>ACX391</t>
  </si>
  <si>
    <t>ACX392</t>
  </si>
  <si>
    <t>ACX393</t>
  </si>
  <si>
    <t>ACX394</t>
  </si>
  <si>
    <t>ACX395</t>
  </si>
  <si>
    <t>ACX396</t>
  </si>
  <si>
    <t>ACX397</t>
  </si>
  <si>
    <t>ACX398</t>
  </si>
  <si>
    <t>ACX399</t>
  </si>
  <si>
    <t>ACX400</t>
  </si>
  <si>
    <t>ACX401</t>
  </si>
  <si>
    <t>ACX402</t>
  </si>
  <si>
    <t>ACX403</t>
  </si>
  <si>
    <t>ACX404</t>
  </si>
  <si>
    <t>ACX405</t>
  </si>
  <si>
    <t>ACX406</t>
  </si>
  <si>
    <t>ACX407</t>
  </si>
  <si>
    <t>ACX408</t>
  </si>
  <si>
    <t>ACX409</t>
  </si>
  <si>
    <t>Md. Robin</t>
  </si>
  <si>
    <t>Hossen</t>
  </si>
  <si>
    <t>Rofikul</t>
  </si>
  <si>
    <t>Engineering</t>
  </si>
  <si>
    <t>Vlookup</t>
  </si>
  <si>
    <t>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</si>
</sst>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  <xf numFmtId="10" fontId="0" fillId="0" borderId="0" xfId="0" applyNumberFormat="1"/>
    <xf numFmtId="10" fontId="0" fillId="0" borderId="2" xfId="0" applyNumberForma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573192</xdr:colOff>
      <xdr:row>17</xdr:row>
      <xdr:rowOff>125518</xdr:rowOff>
    </xdr:from>
    <xdr:to>
      <xdr:col>16</xdr:col>
      <xdr:colOff>397447</xdr:colOff>
      <xdr:row>19</xdr:row>
      <xdr:rowOff>96943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3A2C74-0D09-4BA4-8871-C7D8A09774E6}"/>
            </a:ext>
          </a:extLst>
        </xdr:cNvPr>
        <xdr:cNvSpPr/>
      </xdr:nvSpPr>
      <xdr:spPr>
        <a:xfrm>
          <a:off x="8010019" y="3364018"/>
          <a:ext cx="1993024" cy="3524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17</xdr:row>
          <xdr:rowOff>171450</xdr:rowOff>
        </xdr:from>
        <xdr:to>
          <xdr:col>9</xdr:col>
          <xdr:colOff>952500</xdr:colOff>
          <xdr:row>19</xdr:row>
          <xdr:rowOff>19050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523875</xdr:colOff>
          <xdr:row>18</xdr:row>
          <xdr:rowOff>0</xdr:rowOff>
        </xdr:from>
        <xdr:to>
          <xdr:col>16</xdr:col>
          <xdr:colOff>323850</xdr:colOff>
          <xdr:row>19</xdr:row>
          <xdr:rowOff>38100</xdr:rowOff>
        </xdr:to>
        <xdr:sp macro="" textlink="">
          <xdr:nvSpPr>
            <xdr:cNvPr id="1026" name="Text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33703</xdr:colOff>
      <xdr:row>17</xdr:row>
      <xdr:rowOff>186836</xdr:rowOff>
    </xdr:from>
    <xdr:to>
      <xdr:col>13</xdr:col>
      <xdr:colOff>505557</xdr:colOff>
      <xdr:row>19</xdr:row>
      <xdr:rowOff>43962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DD5778B-8EEC-40EE-8184-E005F61F7050}"/>
            </a:ext>
          </a:extLst>
        </xdr:cNvPr>
        <xdr:cNvSpPr/>
      </xdr:nvSpPr>
      <xdr:spPr>
        <a:xfrm>
          <a:off x="8078665" y="3425336"/>
          <a:ext cx="471854" cy="238126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101162</xdr:colOff>
          <xdr:row>15</xdr:row>
          <xdr:rowOff>109701</xdr:rowOff>
        </xdr:from>
        <xdr:to>
          <xdr:col>19</xdr:col>
          <xdr:colOff>206594</xdr:colOff>
          <xdr:row>16</xdr:row>
          <xdr:rowOff>147801</xdr:rowOff>
        </xdr:to>
        <xdr:sp macro="" textlink="">
          <xdr:nvSpPr>
            <xdr:cNvPr id="1027" name="TextBox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510B2E-21FA-497E-A011-7F9D58128A07}">
  <we:reference id="wa104168603" version="1.0.0.6" store="en-US" storeType="OMEX"/>
  <we:alternateReferences>
    <we:reference id="WA104168603" version="1.0.0.6" store="WA10416860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3ED0-FADE-4623-9517-FDBB6974AAC0}">
  <sheetPr codeName="Sheet2"/>
  <dimension ref="A1:O410"/>
  <sheetViews>
    <sheetView tabSelected="1" workbookViewId="0">
      <selection activeCell="F13" sqref="F13"/>
    </sheetView>
  </sheetViews>
  <sheetFormatPr defaultRowHeight="15" x14ac:dyDescent="0.25"/>
  <cols>
    <col min="1" max="1" width="10.140625" style="9" customWidth="1"/>
    <col min="2" max="2" width="28.42578125" customWidth="1"/>
    <col min="3" max="3" width="23.140625" bestFit="1" customWidth="1"/>
    <col min="4" max="4" width="17.42578125" bestFit="1" customWidth="1"/>
    <col min="5" max="5" width="20.7109375" bestFit="1" customWidth="1"/>
    <col min="6" max="6" width="17" bestFit="1" customWidth="1"/>
    <col min="7" max="7" width="24.140625" style="8" bestFit="1" customWidth="1"/>
    <col min="8" max="8" width="16" style="8" bestFit="1" customWidth="1"/>
    <col min="9" max="9" width="9.85546875" bestFit="1" customWidth="1"/>
    <col min="10" max="10" width="15.5703125" bestFit="1" customWidth="1"/>
    <col min="11" max="11" width="14.28515625" bestFit="1" customWidth="1"/>
    <col min="12" max="12" width="17.85546875" bestFit="1" customWidth="1"/>
    <col min="13" max="13" width="11.140625" bestFit="1" customWidth="1"/>
    <col min="14" max="14" width="16.5703125" bestFit="1" customWidth="1"/>
    <col min="15" max="15" width="8.5703125" bestFit="1" customWidth="1"/>
    <col min="20" max="20" width="18.42578125" bestFit="1" customWidth="1"/>
    <col min="21" max="21" width="11.5703125" bestFit="1" customWidth="1"/>
  </cols>
  <sheetData>
    <row r="1" spans="1:15" x14ac:dyDescent="0.25">
      <c r="A1" s="9" t="s">
        <v>449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8" t="s">
        <v>5</v>
      </c>
      <c r="H1" s="8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477</v>
      </c>
      <c r="O1" t="s">
        <v>451</v>
      </c>
    </row>
    <row r="2" spans="1:15" x14ac:dyDescent="0.25">
      <c r="A2" s="9" t="s">
        <v>478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8">
        <v>45171</v>
      </c>
      <c r="H2" s="8">
        <v>44991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479</v>
      </c>
      <c r="O2">
        <v>10000</v>
      </c>
    </row>
    <row r="3" spans="1:15" x14ac:dyDescent="0.25">
      <c r="A3" s="9" t="s">
        <v>480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s="8">
        <v>45232</v>
      </c>
      <c r="H3" s="8">
        <v>45052</v>
      </c>
      <c r="I3" t="s">
        <v>17</v>
      </c>
      <c r="J3" t="s">
        <v>18</v>
      </c>
      <c r="K3" t="s">
        <v>26</v>
      </c>
      <c r="L3" t="s">
        <v>20</v>
      </c>
      <c r="M3" t="s">
        <v>21</v>
      </c>
      <c r="N3" t="s">
        <v>481</v>
      </c>
      <c r="O3">
        <v>2500</v>
      </c>
    </row>
    <row r="4" spans="1:15" x14ac:dyDescent="0.25">
      <c r="A4" s="9" t="s">
        <v>482</v>
      </c>
      <c r="B4" t="s">
        <v>27</v>
      </c>
      <c r="C4" t="s">
        <v>28</v>
      </c>
      <c r="D4" t="s">
        <v>14</v>
      </c>
      <c r="E4" t="s">
        <v>15</v>
      </c>
      <c r="F4" t="s">
        <v>16</v>
      </c>
      <c r="G4" s="8">
        <v>45246</v>
      </c>
      <c r="H4" s="8">
        <v>45066</v>
      </c>
      <c r="I4" t="s">
        <v>17</v>
      </c>
      <c r="J4" t="s">
        <v>29</v>
      </c>
      <c r="K4" t="s">
        <v>30</v>
      </c>
      <c r="L4" t="s">
        <v>31</v>
      </c>
      <c r="M4" t="s">
        <v>32</v>
      </c>
      <c r="N4" t="s">
        <v>483</v>
      </c>
      <c r="O4">
        <v>500</v>
      </c>
    </row>
    <row r="5" spans="1:15" x14ac:dyDescent="0.25">
      <c r="A5" s="9" t="s">
        <v>484</v>
      </c>
      <c r="B5" t="s">
        <v>33</v>
      </c>
      <c r="C5" t="s">
        <v>34</v>
      </c>
      <c r="D5" t="s">
        <v>35</v>
      </c>
      <c r="E5" t="s">
        <v>24</v>
      </c>
      <c r="F5" t="s">
        <v>16</v>
      </c>
      <c r="G5" s="8">
        <v>45258</v>
      </c>
      <c r="H5" s="8">
        <v>45078</v>
      </c>
      <c r="I5" t="s">
        <v>17</v>
      </c>
      <c r="J5" t="s">
        <v>29</v>
      </c>
      <c r="K5" t="s">
        <v>26</v>
      </c>
      <c r="L5" t="s">
        <v>36</v>
      </c>
      <c r="M5" t="s">
        <v>37</v>
      </c>
      <c r="N5" t="s">
        <v>479</v>
      </c>
      <c r="O5">
        <v>10000</v>
      </c>
    </row>
    <row r="6" spans="1:15" x14ac:dyDescent="0.25">
      <c r="A6" s="9" t="s">
        <v>485</v>
      </c>
      <c r="B6" t="s">
        <v>38</v>
      </c>
      <c r="C6" t="s">
        <v>28</v>
      </c>
      <c r="D6" t="s">
        <v>14</v>
      </c>
      <c r="E6" t="s">
        <v>24</v>
      </c>
      <c r="F6" t="s">
        <v>25</v>
      </c>
      <c r="G6" s="8">
        <v>45269</v>
      </c>
      <c r="H6" s="8">
        <v>45089</v>
      </c>
      <c r="I6" t="s">
        <v>17</v>
      </c>
      <c r="J6" t="s">
        <v>18</v>
      </c>
      <c r="K6" t="s">
        <v>30</v>
      </c>
      <c r="L6" t="s">
        <v>39</v>
      </c>
      <c r="M6" t="s">
        <v>40</v>
      </c>
      <c r="N6" t="s">
        <v>479</v>
      </c>
      <c r="O6">
        <v>10000</v>
      </c>
    </row>
    <row r="7" spans="1:15" x14ac:dyDescent="0.25">
      <c r="A7" s="9" t="s">
        <v>486</v>
      </c>
      <c r="B7" t="s">
        <v>41</v>
      </c>
      <c r="C7" t="s">
        <v>34</v>
      </c>
      <c r="D7" t="s">
        <v>14</v>
      </c>
      <c r="E7" t="s">
        <v>24</v>
      </c>
      <c r="F7" t="s">
        <v>16</v>
      </c>
      <c r="G7" s="8">
        <v>45269</v>
      </c>
      <c r="H7" s="8">
        <v>45089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479</v>
      </c>
      <c r="O7">
        <v>10000</v>
      </c>
    </row>
    <row r="8" spans="1:15" x14ac:dyDescent="0.25">
      <c r="A8" s="9" t="s">
        <v>487</v>
      </c>
      <c r="B8" t="s">
        <v>42</v>
      </c>
      <c r="C8" t="s">
        <v>28</v>
      </c>
      <c r="D8" t="s">
        <v>14</v>
      </c>
      <c r="E8" t="s">
        <v>24</v>
      </c>
      <c r="F8" t="s">
        <v>16</v>
      </c>
      <c r="G8" s="8">
        <v>45272</v>
      </c>
      <c r="H8" s="8">
        <v>45092</v>
      </c>
      <c r="I8" t="s">
        <v>17</v>
      </c>
      <c r="J8" t="s">
        <v>29</v>
      </c>
      <c r="K8" t="s">
        <v>30</v>
      </c>
      <c r="L8" t="s">
        <v>20</v>
      </c>
      <c r="M8" t="s">
        <v>21</v>
      </c>
      <c r="N8" t="s">
        <v>479</v>
      </c>
      <c r="O8">
        <v>10000</v>
      </c>
    </row>
    <row r="9" spans="1:15" x14ac:dyDescent="0.25">
      <c r="A9" s="9" t="s">
        <v>488</v>
      </c>
      <c r="B9" t="s">
        <v>43</v>
      </c>
      <c r="C9" t="s">
        <v>34</v>
      </c>
      <c r="D9" t="s">
        <v>14</v>
      </c>
      <c r="E9" t="s">
        <v>15</v>
      </c>
      <c r="F9" t="s">
        <v>16</v>
      </c>
      <c r="G9" s="8">
        <v>45277</v>
      </c>
      <c r="H9" s="8">
        <v>45097</v>
      </c>
      <c r="I9" t="s">
        <v>17</v>
      </c>
      <c r="J9" t="s">
        <v>18</v>
      </c>
      <c r="K9" t="s">
        <v>44</v>
      </c>
      <c r="L9" t="s">
        <v>20</v>
      </c>
      <c r="M9" t="s">
        <v>21</v>
      </c>
      <c r="N9" t="s">
        <v>479</v>
      </c>
      <c r="O9">
        <v>523</v>
      </c>
    </row>
    <row r="10" spans="1:15" x14ac:dyDescent="0.25">
      <c r="A10" s="9" t="s">
        <v>489</v>
      </c>
      <c r="B10" t="s">
        <v>45</v>
      </c>
      <c r="C10" t="s">
        <v>34</v>
      </c>
      <c r="D10" t="s">
        <v>14</v>
      </c>
      <c r="E10" t="s">
        <v>24</v>
      </c>
      <c r="F10" t="s">
        <v>16</v>
      </c>
      <c r="G10" s="8">
        <v>45277</v>
      </c>
      <c r="H10" s="8">
        <v>45097</v>
      </c>
      <c r="I10" t="s">
        <v>17</v>
      </c>
      <c r="J10" t="s">
        <v>18</v>
      </c>
      <c r="K10" t="s">
        <v>26</v>
      </c>
      <c r="L10" t="s">
        <v>20</v>
      </c>
      <c r="M10" t="s">
        <v>21</v>
      </c>
      <c r="N10" t="s">
        <v>479</v>
      </c>
      <c r="O10">
        <v>10000</v>
      </c>
    </row>
    <row r="11" spans="1:15" x14ac:dyDescent="0.25">
      <c r="A11" s="9" t="s">
        <v>490</v>
      </c>
      <c r="B11" t="s">
        <v>46</v>
      </c>
      <c r="C11" t="s">
        <v>28</v>
      </c>
      <c r="D11" t="s">
        <v>14</v>
      </c>
      <c r="E11" t="s">
        <v>24</v>
      </c>
      <c r="F11" t="s">
        <v>16</v>
      </c>
      <c r="G11" s="8">
        <v>45278</v>
      </c>
      <c r="H11" s="8">
        <v>45098</v>
      </c>
      <c r="I11" t="s">
        <v>17</v>
      </c>
      <c r="J11" t="s">
        <v>29</v>
      </c>
      <c r="K11" t="s">
        <v>30</v>
      </c>
      <c r="L11" t="s">
        <v>20</v>
      </c>
      <c r="M11" t="s">
        <v>21</v>
      </c>
      <c r="N11" t="s">
        <v>479</v>
      </c>
      <c r="O11">
        <v>216363</v>
      </c>
    </row>
    <row r="12" spans="1:15" x14ac:dyDescent="0.25">
      <c r="A12" s="9" t="s">
        <v>491</v>
      </c>
      <c r="B12" t="s">
        <v>47</v>
      </c>
      <c r="C12" t="s">
        <v>28</v>
      </c>
      <c r="D12" t="s">
        <v>14</v>
      </c>
      <c r="E12" t="s">
        <v>15</v>
      </c>
      <c r="F12" t="s">
        <v>16</v>
      </c>
      <c r="G12" s="8">
        <v>45288</v>
      </c>
      <c r="H12" s="8">
        <v>45108</v>
      </c>
      <c r="I12" t="s">
        <v>17</v>
      </c>
      <c r="J12" t="s">
        <v>29</v>
      </c>
      <c r="K12" t="s">
        <v>30</v>
      </c>
      <c r="L12" t="s">
        <v>36</v>
      </c>
      <c r="M12" t="s">
        <v>37</v>
      </c>
      <c r="N12" t="s">
        <v>479</v>
      </c>
      <c r="O12">
        <v>10000</v>
      </c>
    </row>
    <row r="13" spans="1:15" x14ac:dyDescent="0.25">
      <c r="A13" s="9" t="s">
        <v>492</v>
      </c>
      <c r="B13" t="s">
        <v>48</v>
      </c>
      <c r="C13" t="s">
        <v>28</v>
      </c>
      <c r="D13" t="s">
        <v>14</v>
      </c>
      <c r="E13" t="s">
        <v>24</v>
      </c>
      <c r="F13" t="s">
        <v>16</v>
      </c>
      <c r="G13" s="8">
        <v>45297</v>
      </c>
      <c r="H13" s="8">
        <v>45117</v>
      </c>
      <c r="I13" t="s">
        <v>17</v>
      </c>
      <c r="J13" t="s">
        <v>29</v>
      </c>
      <c r="K13" t="s">
        <v>44</v>
      </c>
      <c r="L13" t="s">
        <v>20</v>
      </c>
      <c r="M13" t="s">
        <v>21</v>
      </c>
      <c r="N13" t="s">
        <v>479</v>
      </c>
      <c r="O13">
        <v>10000</v>
      </c>
    </row>
    <row r="14" spans="1:15" x14ac:dyDescent="0.25">
      <c r="A14" s="9" t="s">
        <v>493</v>
      </c>
      <c r="B14" t="s">
        <v>49</v>
      </c>
      <c r="C14" t="s">
        <v>34</v>
      </c>
      <c r="D14" t="s">
        <v>14</v>
      </c>
      <c r="E14" t="s">
        <v>24</v>
      </c>
      <c r="F14" t="s">
        <v>16</v>
      </c>
      <c r="G14" s="8">
        <v>45297</v>
      </c>
      <c r="H14" s="8">
        <v>45117</v>
      </c>
      <c r="I14" t="s">
        <v>17</v>
      </c>
      <c r="J14" t="s">
        <v>29</v>
      </c>
      <c r="K14" t="s">
        <v>19</v>
      </c>
      <c r="L14" t="s">
        <v>50</v>
      </c>
      <c r="M14" t="s">
        <v>32</v>
      </c>
      <c r="N14" t="s">
        <v>479</v>
      </c>
      <c r="O14">
        <v>525</v>
      </c>
    </row>
    <row r="15" spans="1:15" x14ac:dyDescent="0.25">
      <c r="A15" s="9" t="s">
        <v>494</v>
      </c>
      <c r="B15" t="s">
        <v>51</v>
      </c>
      <c r="C15" t="s">
        <v>34</v>
      </c>
      <c r="D15" t="s">
        <v>14</v>
      </c>
      <c r="E15" t="s">
        <v>24</v>
      </c>
      <c r="F15" t="s">
        <v>25</v>
      </c>
      <c r="G15" s="8">
        <v>45297</v>
      </c>
      <c r="H15" s="8">
        <v>45117</v>
      </c>
      <c r="I15" t="s">
        <v>17</v>
      </c>
      <c r="J15" t="s">
        <v>29</v>
      </c>
      <c r="K15" t="s">
        <v>52</v>
      </c>
      <c r="L15" t="s">
        <v>20</v>
      </c>
      <c r="M15" t="s">
        <v>21</v>
      </c>
      <c r="N15" t="s">
        <v>479</v>
      </c>
      <c r="O15">
        <v>10000</v>
      </c>
    </row>
    <row r="16" spans="1:15" x14ac:dyDescent="0.25">
      <c r="A16" s="9" t="s">
        <v>495</v>
      </c>
      <c r="B16" t="s">
        <v>53</v>
      </c>
      <c r="C16" t="s">
        <v>28</v>
      </c>
      <c r="D16" t="s">
        <v>14</v>
      </c>
      <c r="E16" t="s">
        <v>54</v>
      </c>
      <c r="F16" t="s">
        <v>16</v>
      </c>
      <c r="G16" s="8">
        <v>45297</v>
      </c>
      <c r="H16" s="8">
        <v>45117</v>
      </c>
      <c r="I16" t="s">
        <v>17</v>
      </c>
      <c r="J16" t="s">
        <v>18</v>
      </c>
      <c r="K16" t="s">
        <v>19</v>
      </c>
      <c r="L16" t="s">
        <v>20</v>
      </c>
      <c r="M16" t="s">
        <v>21</v>
      </c>
      <c r="N16" t="s">
        <v>479</v>
      </c>
      <c r="O16">
        <v>15265</v>
      </c>
    </row>
    <row r="17" spans="1:15" x14ac:dyDescent="0.25">
      <c r="A17" s="9" t="s">
        <v>496</v>
      </c>
      <c r="B17" t="s">
        <v>55</v>
      </c>
      <c r="C17" t="s">
        <v>13</v>
      </c>
      <c r="D17" t="s">
        <v>14</v>
      </c>
      <c r="E17" t="s">
        <v>24</v>
      </c>
      <c r="F17" t="s">
        <v>16</v>
      </c>
      <c r="G17" s="8">
        <v>45297</v>
      </c>
      <c r="H17" s="8">
        <v>45117</v>
      </c>
      <c r="I17" t="s">
        <v>17</v>
      </c>
      <c r="J17" t="s">
        <v>29</v>
      </c>
      <c r="K17" t="s">
        <v>30</v>
      </c>
      <c r="L17" t="s">
        <v>20</v>
      </c>
      <c r="M17" t="s">
        <v>21</v>
      </c>
      <c r="N17" t="s">
        <v>479</v>
      </c>
      <c r="O17">
        <v>10000</v>
      </c>
    </row>
    <row r="18" spans="1:15" x14ac:dyDescent="0.25">
      <c r="A18" s="9" t="s">
        <v>497</v>
      </c>
      <c r="B18" t="s">
        <v>56</v>
      </c>
      <c r="C18" t="s">
        <v>57</v>
      </c>
      <c r="D18" t="s">
        <v>14</v>
      </c>
      <c r="E18" t="s">
        <v>54</v>
      </c>
      <c r="F18" t="s">
        <v>16</v>
      </c>
      <c r="G18" s="8">
        <v>45297</v>
      </c>
      <c r="H18" s="8">
        <v>45117</v>
      </c>
      <c r="I18" t="s">
        <v>58</v>
      </c>
      <c r="J18" t="s">
        <v>29</v>
      </c>
      <c r="K18" t="s">
        <v>30</v>
      </c>
      <c r="L18" t="s">
        <v>20</v>
      </c>
      <c r="M18" t="s">
        <v>21</v>
      </c>
      <c r="N18" t="s">
        <v>479</v>
      </c>
      <c r="O18">
        <v>56</v>
      </c>
    </row>
    <row r="19" spans="1:15" x14ac:dyDescent="0.25">
      <c r="A19" s="9" t="s">
        <v>498</v>
      </c>
      <c r="B19" t="s">
        <v>59</v>
      </c>
      <c r="C19" t="s">
        <v>13</v>
      </c>
      <c r="D19" t="s">
        <v>14</v>
      </c>
      <c r="E19" t="s">
        <v>24</v>
      </c>
      <c r="F19" t="s">
        <v>16</v>
      </c>
      <c r="G19" s="8">
        <v>45297</v>
      </c>
      <c r="H19" s="8">
        <v>45117</v>
      </c>
      <c r="I19" t="s">
        <v>17</v>
      </c>
      <c r="J19" t="s">
        <v>29</v>
      </c>
      <c r="K19" t="s">
        <v>19</v>
      </c>
      <c r="L19" t="s">
        <v>20</v>
      </c>
      <c r="M19" t="s">
        <v>21</v>
      </c>
      <c r="N19" t="s">
        <v>479</v>
      </c>
      <c r="O19">
        <v>10000</v>
      </c>
    </row>
    <row r="20" spans="1:15" x14ac:dyDescent="0.25">
      <c r="A20" s="9" t="s">
        <v>499</v>
      </c>
      <c r="B20" t="s">
        <v>60</v>
      </c>
      <c r="C20" t="s">
        <v>23</v>
      </c>
      <c r="D20" t="s">
        <v>14</v>
      </c>
      <c r="E20" t="s">
        <v>24</v>
      </c>
      <c r="F20" t="s">
        <v>16</v>
      </c>
      <c r="G20" s="8">
        <v>45297</v>
      </c>
      <c r="H20" s="8">
        <v>45117</v>
      </c>
      <c r="I20" t="s">
        <v>17</v>
      </c>
      <c r="J20" t="s">
        <v>18</v>
      </c>
      <c r="K20" t="s">
        <v>44</v>
      </c>
      <c r="L20" t="s">
        <v>20</v>
      </c>
      <c r="M20" t="s">
        <v>21</v>
      </c>
      <c r="N20" t="s">
        <v>479</v>
      </c>
      <c r="O20">
        <v>10000</v>
      </c>
    </row>
    <row r="21" spans="1:15" x14ac:dyDescent="0.25">
      <c r="A21" s="9" t="s">
        <v>500</v>
      </c>
      <c r="B21" t="s">
        <v>61</v>
      </c>
      <c r="C21" t="s">
        <v>28</v>
      </c>
      <c r="D21" t="s">
        <v>14</v>
      </c>
      <c r="E21" t="s">
        <v>54</v>
      </c>
      <c r="F21" t="s">
        <v>16</v>
      </c>
      <c r="G21" s="8">
        <v>45297</v>
      </c>
      <c r="H21" s="8">
        <v>45117</v>
      </c>
      <c r="I21" t="s">
        <v>17</v>
      </c>
      <c r="J21" t="s">
        <v>18</v>
      </c>
      <c r="K21" t="s">
        <v>30</v>
      </c>
      <c r="L21" t="s">
        <v>20</v>
      </c>
      <c r="M21" t="s">
        <v>21</v>
      </c>
      <c r="N21" t="s">
        <v>479</v>
      </c>
      <c r="O21">
        <v>1662</v>
      </c>
    </row>
    <row r="22" spans="1:15" x14ac:dyDescent="0.25">
      <c r="A22" s="9" t="s">
        <v>501</v>
      </c>
      <c r="B22" t="s">
        <v>62</v>
      </c>
      <c r="C22" t="s">
        <v>34</v>
      </c>
      <c r="D22" t="s">
        <v>14</v>
      </c>
      <c r="E22" t="s">
        <v>54</v>
      </c>
      <c r="F22" t="s">
        <v>16</v>
      </c>
      <c r="G22" s="8">
        <v>45297</v>
      </c>
      <c r="H22" s="8">
        <v>45117</v>
      </c>
      <c r="I22" t="s">
        <v>17</v>
      </c>
      <c r="J22" t="s">
        <v>18</v>
      </c>
      <c r="K22" t="s">
        <v>30</v>
      </c>
      <c r="L22" t="s">
        <v>20</v>
      </c>
      <c r="M22" t="s">
        <v>21</v>
      </c>
      <c r="N22" t="s">
        <v>479</v>
      </c>
      <c r="O22">
        <v>10000</v>
      </c>
    </row>
    <row r="23" spans="1:15" x14ac:dyDescent="0.25">
      <c r="A23" s="9" t="s">
        <v>502</v>
      </c>
      <c r="B23" t="s">
        <v>63</v>
      </c>
      <c r="C23" t="s">
        <v>28</v>
      </c>
      <c r="D23" t="s">
        <v>14</v>
      </c>
      <c r="E23" t="s">
        <v>54</v>
      </c>
      <c r="F23" t="s">
        <v>16</v>
      </c>
      <c r="G23" s="8">
        <v>45298</v>
      </c>
      <c r="H23" s="8">
        <v>45118</v>
      </c>
      <c r="I23" t="s">
        <v>17</v>
      </c>
      <c r="J23" t="s">
        <v>18</v>
      </c>
      <c r="K23" t="s">
        <v>30</v>
      </c>
      <c r="L23" t="s">
        <v>20</v>
      </c>
      <c r="M23" t="s">
        <v>21</v>
      </c>
      <c r="N23" t="s">
        <v>479</v>
      </c>
      <c r="O23">
        <v>10000</v>
      </c>
    </row>
    <row r="24" spans="1:15" x14ac:dyDescent="0.25">
      <c r="A24" s="9" t="s">
        <v>503</v>
      </c>
      <c r="B24" t="s">
        <v>64</v>
      </c>
      <c r="C24" t="s">
        <v>34</v>
      </c>
      <c r="D24" t="s">
        <v>14</v>
      </c>
      <c r="E24" t="s">
        <v>24</v>
      </c>
      <c r="F24" t="s">
        <v>16</v>
      </c>
      <c r="G24" s="8">
        <v>45323</v>
      </c>
      <c r="H24" s="8">
        <v>45143</v>
      </c>
      <c r="I24" t="s">
        <v>17</v>
      </c>
      <c r="J24" t="s">
        <v>29</v>
      </c>
      <c r="K24" t="s">
        <v>30</v>
      </c>
      <c r="L24" t="s">
        <v>20</v>
      </c>
      <c r="M24" t="s">
        <v>21</v>
      </c>
      <c r="N24" t="s">
        <v>479</v>
      </c>
      <c r="O24">
        <v>6232</v>
      </c>
    </row>
    <row r="25" spans="1:15" x14ac:dyDescent="0.25">
      <c r="A25" s="9" t="s">
        <v>504</v>
      </c>
      <c r="B25" t="s">
        <v>65</v>
      </c>
      <c r="C25" t="s">
        <v>34</v>
      </c>
      <c r="D25" t="s">
        <v>14</v>
      </c>
      <c r="E25" t="s">
        <v>24</v>
      </c>
      <c r="F25" t="s">
        <v>16</v>
      </c>
      <c r="G25" s="8">
        <v>45323</v>
      </c>
      <c r="H25" s="8">
        <v>45143</v>
      </c>
      <c r="I25" t="s">
        <v>17</v>
      </c>
      <c r="J25" t="s">
        <v>29</v>
      </c>
      <c r="K25" t="s">
        <v>26</v>
      </c>
      <c r="L25" t="s">
        <v>66</v>
      </c>
      <c r="M25" t="s">
        <v>37</v>
      </c>
      <c r="N25" t="s">
        <v>479</v>
      </c>
      <c r="O25">
        <v>10000</v>
      </c>
    </row>
    <row r="26" spans="1:15" x14ac:dyDescent="0.25">
      <c r="A26" s="9" t="s">
        <v>505</v>
      </c>
      <c r="B26" t="s">
        <v>67</v>
      </c>
      <c r="C26" t="s">
        <v>34</v>
      </c>
      <c r="D26" t="s">
        <v>14</v>
      </c>
      <c r="E26" t="s">
        <v>24</v>
      </c>
      <c r="F26" t="s">
        <v>16</v>
      </c>
      <c r="G26" s="8">
        <v>45356</v>
      </c>
      <c r="H26" s="8">
        <v>45176</v>
      </c>
      <c r="I26" t="s">
        <v>17</v>
      </c>
      <c r="J26" t="s">
        <v>29</v>
      </c>
      <c r="K26" t="s">
        <v>19</v>
      </c>
      <c r="L26" t="s">
        <v>20</v>
      </c>
      <c r="M26" t="s">
        <v>21</v>
      </c>
      <c r="N26" t="s">
        <v>479</v>
      </c>
      <c r="O26">
        <v>10000</v>
      </c>
    </row>
    <row r="27" spans="1:15" x14ac:dyDescent="0.25">
      <c r="A27" s="9" t="s">
        <v>506</v>
      </c>
      <c r="B27" t="s">
        <v>68</v>
      </c>
      <c r="C27" t="s">
        <v>13</v>
      </c>
      <c r="D27" t="s">
        <v>14</v>
      </c>
      <c r="E27" t="s">
        <v>24</v>
      </c>
      <c r="F27" t="s">
        <v>25</v>
      </c>
      <c r="G27" s="8">
        <v>45430</v>
      </c>
      <c r="H27" s="8">
        <v>45250</v>
      </c>
      <c r="I27" t="s">
        <v>17</v>
      </c>
      <c r="J27" t="s">
        <v>29</v>
      </c>
      <c r="K27" t="s">
        <v>30</v>
      </c>
      <c r="L27" t="s">
        <v>69</v>
      </c>
      <c r="M27" t="s">
        <v>70</v>
      </c>
      <c r="N27" t="s">
        <v>479</v>
      </c>
      <c r="O27">
        <v>21633</v>
      </c>
    </row>
    <row r="28" spans="1:15" x14ac:dyDescent="0.25">
      <c r="A28" s="9" t="s">
        <v>507</v>
      </c>
      <c r="B28" t="s">
        <v>71</v>
      </c>
      <c r="C28" t="s">
        <v>28</v>
      </c>
      <c r="D28" t="s">
        <v>14</v>
      </c>
      <c r="E28" t="s">
        <v>24</v>
      </c>
      <c r="F28" t="s">
        <v>25</v>
      </c>
      <c r="G28" s="8">
        <v>45430</v>
      </c>
      <c r="H28" s="8">
        <v>45250</v>
      </c>
      <c r="I28" t="s">
        <v>17</v>
      </c>
      <c r="J28" t="s">
        <v>29</v>
      </c>
      <c r="K28" t="s">
        <v>30</v>
      </c>
      <c r="L28" t="s">
        <v>50</v>
      </c>
      <c r="M28" t="s">
        <v>32</v>
      </c>
      <c r="N28" t="s">
        <v>479</v>
      </c>
      <c r="O28">
        <v>10000</v>
      </c>
    </row>
    <row r="29" spans="1:15" x14ac:dyDescent="0.25">
      <c r="A29" s="9" t="s">
        <v>508</v>
      </c>
      <c r="B29" t="s">
        <v>72</v>
      </c>
      <c r="C29" t="s">
        <v>34</v>
      </c>
      <c r="D29" t="s">
        <v>14</v>
      </c>
      <c r="E29" t="s">
        <v>15</v>
      </c>
      <c r="F29" t="s">
        <v>25</v>
      </c>
      <c r="G29" s="8">
        <v>45442</v>
      </c>
      <c r="H29" s="8">
        <v>45262</v>
      </c>
      <c r="I29" t="s">
        <v>17</v>
      </c>
      <c r="J29" t="s">
        <v>29</v>
      </c>
      <c r="K29" t="s">
        <v>44</v>
      </c>
      <c r="L29" t="s">
        <v>36</v>
      </c>
      <c r="M29" t="s">
        <v>37</v>
      </c>
      <c r="N29" t="s">
        <v>479</v>
      </c>
      <c r="O29">
        <v>10000</v>
      </c>
    </row>
    <row r="30" spans="1:15" x14ac:dyDescent="0.25">
      <c r="A30" s="9" t="s">
        <v>509</v>
      </c>
      <c r="B30" t="s">
        <v>73</v>
      </c>
      <c r="C30" t="s">
        <v>34</v>
      </c>
      <c r="D30" t="s">
        <v>14</v>
      </c>
      <c r="E30" t="s">
        <v>24</v>
      </c>
      <c r="F30" t="s">
        <v>25</v>
      </c>
      <c r="G30" s="8">
        <v>45449</v>
      </c>
      <c r="H30" s="8">
        <v>45269</v>
      </c>
      <c r="I30" t="s">
        <v>17</v>
      </c>
      <c r="J30" t="s">
        <v>18</v>
      </c>
      <c r="K30" t="s">
        <v>26</v>
      </c>
      <c r="L30" t="s">
        <v>20</v>
      </c>
      <c r="M30" t="s">
        <v>21</v>
      </c>
      <c r="N30" t="s">
        <v>479</v>
      </c>
      <c r="O30">
        <v>5000</v>
      </c>
    </row>
    <row r="31" spans="1:15" x14ac:dyDescent="0.25">
      <c r="A31" s="9" t="s">
        <v>510</v>
      </c>
      <c r="B31" t="s">
        <v>74</v>
      </c>
      <c r="C31" t="s">
        <v>28</v>
      </c>
      <c r="D31" t="s">
        <v>14</v>
      </c>
      <c r="E31" t="s">
        <v>15</v>
      </c>
      <c r="F31" t="s">
        <v>25</v>
      </c>
      <c r="G31" s="8">
        <v>45450</v>
      </c>
      <c r="H31" s="8">
        <v>45270</v>
      </c>
      <c r="I31" t="s">
        <v>17</v>
      </c>
      <c r="J31" t="s">
        <v>18</v>
      </c>
      <c r="K31" t="s">
        <v>19</v>
      </c>
      <c r="L31" t="s">
        <v>20</v>
      </c>
      <c r="M31" t="s">
        <v>21</v>
      </c>
      <c r="N31" t="s">
        <v>479</v>
      </c>
      <c r="O31">
        <v>10000</v>
      </c>
    </row>
    <row r="32" spans="1:15" x14ac:dyDescent="0.25">
      <c r="A32" s="9" t="s">
        <v>511</v>
      </c>
      <c r="B32" t="s">
        <v>75</v>
      </c>
      <c r="C32" t="s">
        <v>28</v>
      </c>
      <c r="D32" t="s">
        <v>14</v>
      </c>
      <c r="E32" t="s">
        <v>54</v>
      </c>
      <c r="F32" t="s">
        <v>25</v>
      </c>
      <c r="G32" s="8">
        <v>45450</v>
      </c>
      <c r="H32" s="8">
        <v>45270</v>
      </c>
      <c r="I32" t="s">
        <v>17</v>
      </c>
      <c r="J32" t="s">
        <v>18</v>
      </c>
      <c r="K32" t="s">
        <v>44</v>
      </c>
      <c r="L32" t="s">
        <v>66</v>
      </c>
      <c r="M32" t="s">
        <v>37</v>
      </c>
      <c r="N32" t="s">
        <v>479</v>
      </c>
      <c r="O32">
        <v>6211</v>
      </c>
    </row>
    <row r="33" spans="1:15" x14ac:dyDescent="0.25">
      <c r="A33" s="9" t="s">
        <v>512</v>
      </c>
      <c r="B33" t="s">
        <v>76</v>
      </c>
      <c r="C33" t="s">
        <v>28</v>
      </c>
      <c r="D33" t="s">
        <v>14</v>
      </c>
      <c r="E33" t="s">
        <v>54</v>
      </c>
      <c r="F33" t="s">
        <v>25</v>
      </c>
      <c r="G33" s="8">
        <v>45450</v>
      </c>
      <c r="H33" s="8">
        <v>45270</v>
      </c>
      <c r="I33" t="s">
        <v>17</v>
      </c>
      <c r="J33" t="s">
        <v>18</v>
      </c>
      <c r="K33" t="s">
        <v>77</v>
      </c>
      <c r="L33" t="s">
        <v>78</v>
      </c>
      <c r="M33" t="s">
        <v>37</v>
      </c>
      <c r="N33" t="s">
        <v>479</v>
      </c>
      <c r="O33">
        <v>36352</v>
      </c>
    </row>
    <row r="34" spans="1:15" x14ac:dyDescent="0.25">
      <c r="A34" s="9" t="s">
        <v>513</v>
      </c>
      <c r="B34" t="s">
        <v>79</v>
      </c>
      <c r="C34" t="s">
        <v>28</v>
      </c>
      <c r="D34" t="s">
        <v>14</v>
      </c>
      <c r="E34" t="s">
        <v>54</v>
      </c>
      <c r="F34" t="s">
        <v>25</v>
      </c>
      <c r="G34" s="8">
        <v>45450</v>
      </c>
      <c r="H34" s="8">
        <v>45270</v>
      </c>
      <c r="I34" t="s">
        <v>17</v>
      </c>
      <c r="J34" t="s">
        <v>18</v>
      </c>
      <c r="K34" t="s">
        <v>77</v>
      </c>
      <c r="L34" t="s">
        <v>80</v>
      </c>
      <c r="M34" t="s">
        <v>21</v>
      </c>
      <c r="N34" t="s">
        <v>479</v>
      </c>
      <c r="O34">
        <v>2581</v>
      </c>
    </row>
    <row r="35" spans="1:15" x14ac:dyDescent="0.25">
      <c r="A35" s="9" t="s">
        <v>514</v>
      </c>
      <c r="B35" t="s">
        <v>81</v>
      </c>
      <c r="C35" t="s">
        <v>28</v>
      </c>
      <c r="D35" t="s">
        <v>14</v>
      </c>
      <c r="E35" t="s">
        <v>54</v>
      </c>
      <c r="F35" t="s">
        <v>25</v>
      </c>
      <c r="G35" s="8">
        <v>45450</v>
      </c>
      <c r="H35" s="8">
        <v>45270</v>
      </c>
      <c r="I35" t="s">
        <v>17</v>
      </c>
      <c r="J35" t="s">
        <v>18</v>
      </c>
      <c r="K35" t="s">
        <v>19</v>
      </c>
      <c r="L35" t="s">
        <v>66</v>
      </c>
      <c r="M35" t="s">
        <v>37</v>
      </c>
      <c r="N35" t="s">
        <v>479</v>
      </c>
      <c r="O35">
        <v>2365</v>
      </c>
    </row>
    <row r="36" spans="1:15" x14ac:dyDescent="0.25">
      <c r="A36" s="9" t="s">
        <v>515</v>
      </c>
      <c r="B36" t="s">
        <v>82</v>
      </c>
      <c r="C36" t="s">
        <v>28</v>
      </c>
      <c r="D36" t="s">
        <v>14</v>
      </c>
      <c r="E36" t="s">
        <v>54</v>
      </c>
      <c r="F36" t="s">
        <v>25</v>
      </c>
      <c r="G36" s="8">
        <v>45450</v>
      </c>
      <c r="H36" s="8">
        <v>45270</v>
      </c>
      <c r="I36" t="s">
        <v>17</v>
      </c>
      <c r="J36" t="s">
        <v>29</v>
      </c>
      <c r="K36" t="s">
        <v>19</v>
      </c>
      <c r="L36" t="s">
        <v>83</v>
      </c>
      <c r="M36" t="s">
        <v>37</v>
      </c>
      <c r="N36" t="s">
        <v>479</v>
      </c>
      <c r="O36">
        <v>10000</v>
      </c>
    </row>
    <row r="37" spans="1:15" x14ac:dyDescent="0.25">
      <c r="A37" s="9" t="s">
        <v>516</v>
      </c>
      <c r="B37" t="s">
        <v>84</v>
      </c>
      <c r="C37" t="s">
        <v>13</v>
      </c>
      <c r="D37" t="s">
        <v>14</v>
      </c>
      <c r="E37" t="s">
        <v>54</v>
      </c>
      <c r="F37" t="s">
        <v>25</v>
      </c>
      <c r="G37" s="8">
        <v>45450</v>
      </c>
      <c r="H37" s="8">
        <v>45270</v>
      </c>
      <c r="I37" t="s">
        <v>17</v>
      </c>
      <c r="J37" t="s">
        <v>18</v>
      </c>
      <c r="K37" t="s">
        <v>19</v>
      </c>
      <c r="L37" t="s">
        <v>20</v>
      </c>
      <c r="M37" t="s">
        <v>21</v>
      </c>
      <c r="N37" t="s">
        <v>479</v>
      </c>
      <c r="O37">
        <v>10000</v>
      </c>
    </row>
    <row r="38" spans="1:15" x14ac:dyDescent="0.25">
      <c r="A38" s="9" t="s">
        <v>517</v>
      </c>
      <c r="B38" t="s">
        <v>85</v>
      </c>
      <c r="C38" t="s">
        <v>28</v>
      </c>
      <c r="D38" t="s">
        <v>14</v>
      </c>
      <c r="E38" t="s">
        <v>54</v>
      </c>
      <c r="F38" t="s">
        <v>25</v>
      </c>
      <c r="G38" s="8">
        <v>45450</v>
      </c>
      <c r="H38" s="8">
        <v>45270</v>
      </c>
      <c r="I38" t="s">
        <v>17</v>
      </c>
      <c r="J38" t="s">
        <v>18</v>
      </c>
      <c r="K38" t="s">
        <v>77</v>
      </c>
      <c r="L38" t="s">
        <v>20</v>
      </c>
      <c r="M38" t="s">
        <v>21</v>
      </c>
      <c r="N38" t="s">
        <v>479</v>
      </c>
      <c r="O38">
        <v>16554</v>
      </c>
    </row>
    <row r="39" spans="1:15" x14ac:dyDescent="0.25">
      <c r="A39" s="9" t="s">
        <v>518</v>
      </c>
      <c r="B39" t="s">
        <v>86</v>
      </c>
      <c r="C39" t="s">
        <v>28</v>
      </c>
      <c r="D39" t="s">
        <v>14</v>
      </c>
      <c r="E39" t="s">
        <v>54</v>
      </c>
      <c r="F39" t="s">
        <v>25</v>
      </c>
      <c r="G39" s="8">
        <v>45450</v>
      </c>
      <c r="H39" s="8">
        <v>45270</v>
      </c>
      <c r="I39" t="s">
        <v>17</v>
      </c>
      <c r="J39" t="s">
        <v>18</v>
      </c>
      <c r="K39" t="s">
        <v>44</v>
      </c>
      <c r="L39" t="s">
        <v>20</v>
      </c>
      <c r="M39" t="s">
        <v>21</v>
      </c>
      <c r="N39" t="s">
        <v>479</v>
      </c>
      <c r="O39">
        <v>10000</v>
      </c>
    </row>
    <row r="40" spans="1:15" x14ac:dyDescent="0.25">
      <c r="A40" s="9" t="s">
        <v>519</v>
      </c>
      <c r="B40" t="s">
        <v>87</v>
      </c>
      <c r="C40" t="s">
        <v>28</v>
      </c>
      <c r="D40" t="s">
        <v>14</v>
      </c>
      <c r="E40" t="s">
        <v>54</v>
      </c>
      <c r="F40" t="s">
        <v>25</v>
      </c>
      <c r="G40" s="8">
        <v>45450</v>
      </c>
      <c r="H40" s="8">
        <v>45270</v>
      </c>
      <c r="I40" t="s">
        <v>17</v>
      </c>
      <c r="J40" t="s">
        <v>29</v>
      </c>
      <c r="K40" t="s">
        <v>26</v>
      </c>
      <c r="L40" t="s">
        <v>20</v>
      </c>
      <c r="M40" t="s">
        <v>21</v>
      </c>
      <c r="N40" t="s">
        <v>479</v>
      </c>
      <c r="O40">
        <v>10000</v>
      </c>
    </row>
    <row r="41" spans="1:15" x14ac:dyDescent="0.25">
      <c r="A41" s="9" t="s">
        <v>520</v>
      </c>
      <c r="B41" t="s">
        <v>88</v>
      </c>
      <c r="C41" t="s">
        <v>28</v>
      </c>
      <c r="D41" t="s">
        <v>14</v>
      </c>
      <c r="E41" t="s">
        <v>54</v>
      </c>
      <c r="F41" t="s">
        <v>25</v>
      </c>
      <c r="G41" s="8">
        <v>45450</v>
      </c>
      <c r="H41" s="8">
        <v>45270</v>
      </c>
      <c r="I41" t="s">
        <v>17</v>
      </c>
      <c r="J41" t="s">
        <v>29</v>
      </c>
      <c r="K41" t="s">
        <v>19</v>
      </c>
      <c r="L41" t="s">
        <v>20</v>
      </c>
      <c r="M41" t="s">
        <v>21</v>
      </c>
      <c r="N41" t="s">
        <v>479</v>
      </c>
      <c r="O41">
        <v>10000</v>
      </c>
    </row>
    <row r="42" spans="1:15" x14ac:dyDescent="0.25">
      <c r="A42" s="9" t="s">
        <v>521</v>
      </c>
      <c r="B42" t="s">
        <v>89</v>
      </c>
      <c r="C42" t="s">
        <v>34</v>
      </c>
      <c r="D42" t="s">
        <v>14</v>
      </c>
      <c r="E42" t="s">
        <v>54</v>
      </c>
      <c r="F42" t="s">
        <v>25</v>
      </c>
      <c r="G42" s="8">
        <v>45450</v>
      </c>
      <c r="H42" s="8">
        <v>45270</v>
      </c>
      <c r="I42" t="s">
        <v>58</v>
      </c>
      <c r="J42" t="s">
        <v>29</v>
      </c>
      <c r="K42" t="s">
        <v>26</v>
      </c>
      <c r="L42" t="s">
        <v>20</v>
      </c>
      <c r="M42" t="s">
        <v>21</v>
      </c>
      <c r="N42" t="s">
        <v>479</v>
      </c>
      <c r="O42">
        <v>165146</v>
      </c>
    </row>
    <row r="43" spans="1:15" x14ac:dyDescent="0.25">
      <c r="A43" s="9" t="s">
        <v>522</v>
      </c>
      <c r="B43" t="s">
        <v>90</v>
      </c>
      <c r="C43" t="s">
        <v>13</v>
      </c>
      <c r="D43" t="s">
        <v>14</v>
      </c>
      <c r="E43" t="s">
        <v>54</v>
      </c>
      <c r="F43" t="s">
        <v>25</v>
      </c>
      <c r="G43" s="8">
        <v>45450</v>
      </c>
      <c r="H43" s="8">
        <v>45270</v>
      </c>
      <c r="I43" t="s">
        <v>17</v>
      </c>
      <c r="J43" t="s">
        <v>18</v>
      </c>
      <c r="K43" t="s">
        <v>30</v>
      </c>
      <c r="L43" t="s">
        <v>66</v>
      </c>
      <c r="M43" t="s">
        <v>37</v>
      </c>
      <c r="N43" t="s">
        <v>479</v>
      </c>
      <c r="O43">
        <v>10000</v>
      </c>
    </row>
    <row r="44" spans="1:15" x14ac:dyDescent="0.25">
      <c r="A44" s="9" t="s">
        <v>523</v>
      </c>
      <c r="B44" t="s">
        <v>91</v>
      </c>
      <c r="C44" t="s">
        <v>13</v>
      </c>
      <c r="D44" t="s">
        <v>14</v>
      </c>
      <c r="E44" t="s">
        <v>54</v>
      </c>
      <c r="F44" t="s">
        <v>25</v>
      </c>
      <c r="G44" s="8">
        <v>45450</v>
      </c>
      <c r="H44" s="8">
        <v>45270</v>
      </c>
      <c r="I44" t="s">
        <v>17</v>
      </c>
      <c r="J44" t="s">
        <v>18</v>
      </c>
      <c r="K44" t="s">
        <v>92</v>
      </c>
      <c r="L44" t="s">
        <v>20</v>
      </c>
      <c r="M44" t="s">
        <v>21</v>
      </c>
      <c r="N44" t="s">
        <v>479</v>
      </c>
      <c r="O44">
        <v>10000</v>
      </c>
    </row>
    <row r="45" spans="1:15" x14ac:dyDescent="0.25">
      <c r="A45" s="9" t="s">
        <v>524</v>
      </c>
      <c r="B45" t="s">
        <v>93</v>
      </c>
      <c r="C45" t="s">
        <v>13</v>
      </c>
      <c r="D45" t="s">
        <v>14</v>
      </c>
      <c r="E45" t="s">
        <v>54</v>
      </c>
      <c r="F45" t="s">
        <v>25</v>
      </c>
      <c r="G45" s="8">
        <v>45450</v>
      </c>
      <c r="H45" s="8">
        <v>45270</v>
      </c>
      <c r="I45" t="s">
        <v>17</v>
      </c>
      <c r="J45" t="s">
        <v>18</v>
      </c>
      <c r="K45" t="s">
        <v>19</v>
      </c>
      <c r="L45" t="s">
        <v>20</v>
      </c>
      <c r="M45" t="s">
        <v>21</v>
      </c>
      <c r="N45" t="s">
        <v>479</v>
      </c>
      <c r="O45">
        <v>215</v>
      </c>
    </row>
    <row r="46" spans="1:15" x14ac:dyDescent="0.25">
      <c r="A46" s="9" t="s">
        <v>525</v>
      </c>
      <c r="B46" t="s">
        <v>94</v>
      </c>
      <c r="C46" t="s">
        <v>28</v>
      </c>
      <c r="D46" t="s">
        <v>14</v>
      </c>
      <c r="E46" t="s">
        <v>54</v>
      </c>
      <c r="F46" t="s">
        <v>25</v>
      </c>
      <c r="G46" s="8">
        <v>45450</v>
      </c>
      <c r="H46" s="8">
        <v>45270</v>
      </c>
      <c r="I46" t="s">
        <v>17</v>
      </c>
      <c r="J46" t="s">
        <v>18</v>
      </c>
      <c r="K46" t="s">
        <v>30</v>
      </c>
      <c r="L46" t="s">
        <v>20</v>
      </c>
      <c r="M46" t="s">
        <v>21</v>
      </c>
      <c r="N46" t="s">
        <v>479</v>
      </c>
      <c r="O46">
        <v>10000</v>
      </c>
    </row>
    <row r="47" spans="1:15" x14ac:dyDescent="0.25">
      <c r="A47" s="9" t="s">
        <v>526</v>
      </c>
      <c r="B47" t="s">
        <v>95</v>
      </c>
      <c r="C47" t="s">
        <v>28</v>
      </c>
      <c r="D47" t="s">
        <v>14</v>
      </c>
      <c r="E47" t="s">
        <v>54</v>
      </c>
      <c r="F47" t="s">
        <v>25</v>
      </c>
      <c r="G47" s="8">
        <v>45450</v>
      </c>
      <c r="H47" s="8">
        <v>45270</v>
      </c>
      <c r="I47" t="s">
        <v>58</v>
      </c>
      <c r="J47" t="s">
        <v>18</v>
      </c>
      <c r="K47" t="s">
        <v>96</v>
      </c>
      <c r="L47" t="s">
        <v>66</v>
      </c>
      <c r="M47" t="s">
        <v>37</v>
      </c>
      <c r="N47" t="s">
        <v>479</v>
      </c>
      <c r="O47">
        <v>10000</v>
      </c>
    </row>
    <row r="48" spans="1:15" x14ac:dyDescent="0.25">
      <c r="A48" s="9" t="s">
        <v>527</v>
      </c>
      <c r="B48" t="s">
        <v>97</v>
      </c>
      <c r="C48" t="s">
        <v>28</v>
      </c>
      <c r="D48" t="s">
        <v>14</v>
      </c>
      <c r="E48" t="s">
        <v>54</v>
      </c>
      <c r="F48" t="s">
        <v>25</v>
      </c>
      <c r="G48" s="8">
        <v>45450</v>
      </c>
      <c r="H48" s="8">
        <v>45270</v>
      </c>
      <c r="I48" t="s">
        <v>17</v>
      </c>
      <c r="J48" t="s">
        <v>18</v>
      </c>
      <c r="K48" t="s">
        <v>19</v>
      </c>
      <c r="L48" t="s">
        <v>50</v>
      </c>
      <c r="M48" t="s">
        <v>32</v>
      </c>
      <c r="N48" t="s">
        <v>479</v>
      </c>
      <c r="O48">
        <v>16365</v>
      </c>
    </row>
    <row r="49" spans="1:15" x14ac:dyDescent="0.25">
      <c r="A49" s="9" t="s">
        <v>528</v>
      </c>
      <c r="B49" t="s">
        <v>98</v>
      </c>
      <c r="C49" t="s">
        <v>28</v>
      </c>
      <c r="D49" t="s">
        <v>14</v>
      </c>
      <c r="E49" t="s">
        <v>54</v>
      </c>
      <c r="F49" t="s">
        <v>25</v>
      </c>
      <c r="G49" s="8">
        <v>45450</v>
      </c>
      <c r="H49" s="8">
        <v>45270</v>
      </c>
      <c r="I49" t="s">
        <v>58</v>
      </c>
      <c r="J49" t="s">
        <v>18</v>
      </c>
      <c r="K49" t="s">
        <v>19</v>
      </c>
      <c r="L49" t="s">
        <v>83</v>
      </c>
      <c r="M49" t="s">
        <v>37</v>
      </c>
      <c r="N49" t="s">
        <v>479</v>
      </c>
      <c r="O49">
        <v>10000</v>
      </c>
    </row>
    <row r="50" spans="1:15" x14ac:dyDescent="0.25">
      <c r="A50" s="9" t="s">
        <v>529</v>
      </c>
      <c r="B50" t="s">
        <v>99</v>
      </c>
      <c r="C50" t="s">
        <v>28</v>
      </c>
      <c r="D50" t="s">
        <v>14</v>
      </c>
      <c r="E50" t="s">
        <v>54</v>
      </c>
      <c r="F50" t="s">
        <v>25</v>
      </c>
      <c r="G50" s="8">
        <v>45450</v>
      </c>
      <c r="H50" s="8">
        <v>45270</v>
      </c>
      <c r="I50" t="s">
        <v>17</v>
      </c>
      <c r="J50" t="s">
        <v>18</v>
      </c>
      <c r="K50" t="s">
        <v>77</v>
      </c>
      <c r="L50" t="s">
        <v>20</v>
      </c>
      <c r="M50" t="s">
        <v>21</v>
      </c>
      <c r="N50" t="s">
        <v>479</v>
      </c>
      <c r="O50">
        <v>10000</v>
      </c>
    </row>
    <row r="51" spans="1:15" x14ac:dyDescent="0.25">
      <c r="A51" s="9" t="s">
        <v>530</v>
      </c>
      <c r="B51" t="s">
        <v>100</v>
      </c>
      <c r="C51" t="s">
        <v>28</v>
      </c>
      <c r="D51" t="s">
        <v>14</v>
      </c>
      <c r="E51" t="s">
        <v>54</v>
      </c>
      <c r="F51" t="s">
        <v>25</v>
      </c>
      <c r="G51" s="8">
        <v>45450</v>
      </c>
      <c r="H51" s="8">
        <v>45270</v>
      </c>
      <c r="I51" t="s">
        <v>58</v>
      </c>
      <c r="J51" t="s">
        <v>18</v>
      </c>
      <c r="K51" t="s">
        <v>30</v>
      </c>
      <c r="L51" t="s">
        <v>66</v>
      </c>
      <c r="M51" t="s">
        <v>37</v>
      </c>
      <c r="N51" t="s">
        <v>479</v>
      </c>
      <c r="O51">
        <v>1636</v>
      </c>
    </row>
    <row r="52" spans="1:15" x14ac:dyDescent="0.25">
      <c r="A52" s="9" t="s">
        <v>531</v>
      </c>
      <c r="B52" t="s">
        <v>101</v>
      </c>
      <c r="C52" t="s">
        <v>28</v>
      </c>
      <c r="D52" t="s">
        <v>14</v>
      </c>
      <c r="E52" t="s">
        <v>54</v>
      </c>
      <c r="F52" t="s">
        <v>25</v>
      </c>
      <c r="G52" s="8">
        <v>45450</v>
      </c>
      <c r="H52" s="8">
        <v>45270</v>
      </c>
      <c r="I52" t="s">
        <v>58</v>
      </c>
      <c r="J52" t="s">
        <v>18</v>
      </c>
      <c r="K52" t="s">
        <v>30</v>
      </c>
      <c r="L52" t="s">
        <v>20</v>
      </c>
      <c r="M52" t="s">
        <v>21</v>
      </c>
      <c r="N52" t="s">
        <v>479</v>
      </c>
      <c r="O52">
        <v>10000</v>
      </c>
    </row>
    <row r="53" spans="1:15" x14ac:dyDescent="0.25">
      <c r="A53" s="9" t="s">
        <v>532</v>
      </c>
      <c r="B53" t="s">
        <v>102</v>
      </c>
      <c r="C53" t="s">
        <v>13</v>
      </c>
      <c r="D53" t="s">
        <v>14</v>
      </c>
      <c r="E53" t="s">
        <v>54</v>
      </c>
      <c r="F53" t="s">
        <v>25</v>
      </c>
      <c r="G53" s="8">
        <v>45450</v>
      </c>
      <c r="H53" s="8">
        <v>45270</v>
      </c>
      <c r="I53" t="s">
        <v>58</v>
      </c>
      <c r="J53" t="s">
        <v>18</v>
      </c>
      <c r="K53" t="s">
        <v>30</v>
      </c>
      <c r="L53" t="s">
        <v>20</v>
      </c>
      <c r="M53" t="s">
        <v>21</v>
      </c>
      <c r="N53" t="s">
        <v>479</v>
      </c>
      <c r="O53">
        <v>10000</v>
      </c>
    </row>
    <row r="54" spans="1:15" x14ac:dyDescent="0.25">
      <c r="A54" s="9" t="s">
        <v>533</v>
      </c>
      <c r="B54" t="s">
        <v>103</v>
      </c>
      <c r="C54" t="s">
        <v>28</v>
      </c>
      <c r="D54" t="s">
        <v>14</v>
      </c>
      <c r="E54" t="s">
        <v>54</v>
      </c>
      <c r="F54" t="s">
        <v>25</v>
      </c>
      <c r="G54" s="8">
        <v>45450</v>
      </c>
      <c r="H54" s="8">
        <v>45270</v>
      </c>
      <c r="I54" t="s">
        <v>58</v>
      </c>
      <c r="J54" t="s">
        <v>18</v>
      </c>
      <c r="K54" t="s">
        <v>30</v>
      </c>
      <c r="L54" t="s">
        <v>66</v>
      </c>
      <c r="M54" t="s">
        <v>37</v>
      </c>
      <c r="N54" t="s">
        <v>479</v>
      </c>
      <c r="O54">
        <v>2163263</v>
      </c>
    </row>
    <row r="55" spans="1:15" x14ac:dyDescent="0.25">
      <c r="A55" s="9" t="s">
        <v>534</v>
      </c>
      <c r="B55" t="s">
        <v>104</v>
      </c>
      <c r="C55" t="s">
        <v>28</v>
      </c>
      <c r="D55" t="s">
        <v>14</v>
      </c>
      <c r="E55" t="s">
        <v>54</v>
      </c>
      <c r="F55" t="s">
        <v>25</v>
      </c>
      <c r="G55" s="8">
        <v>45450</v>
      </c>
      <c r="H55" s="8">
        <v>45270</v>
      </c>
      <c r="I55" t="s">
        <v>58</v>
      </c>
      <c r="J55" t="s">
        <v>29</v>
      </c>
      <c r="K55" t="s">
        <v>19</v>
      </c>
      <c r="L55" t="s">
        <v>20</v>
      </c>
      <c r="M55" t="s">
        <v>21</v>
      </c>
      <c r="N55" t="s">
        <v>479</v>
      </c>
      <c r="O55">
        <v>10000</v>
      </c>
    </row>
    <row r="56" spans="1:15" x14ac:dyDescent="0.25">
      <c r="A56" s="9" t="s">
        <v>535</v>
      </c>
      <c r="B56" t="s">
        <v>105</v>
      </c>
      <c r="C56" t="s">
        <v>28</v>
      </c>
      <c r="D56" t="s">
        <v>14</v>
      </c>
      <c r="E56" t="s">
        <v>54</v>
      </c>
      <c r="F56" t="s">
        <v>25</v>
      </c>
      <c r="G56" s="8">
        <v>45450</v>
      </c>
      <c r="H56" s="8">
        <v>45270</v>
      </c>
      <c r="I56" t="s">
        <v>58</v>
      </c>
      <c r="J56" t="s">
        <v>18</v>
      </c>
      <c r="K56" t="s">
        <v>26</v>
      </c>
      <c r="L56" t="s">
        <v>20</v>
      </c>
      <c r="M56" t="s">
        <v>21</v>
      </c>
      <c r="N56" t="s">
        <v>479</v>
      </c>
      <c r="O56">
        <v>10000</v>
      </c>
    </row>
    <row r="57" spans="1:15" x14ac:dyDescent="0.25">
      <c r="A57" s="9" t="s">
        <v>536</v>
      </c>
      <c r="B57" t="s">
        <v>106</v>
      </c>
      <c r="C57" t="s">
        <v>28</v>
      </c>
      <c r="D57" t="s">
        <v>107</v>
      </c>
      <c r="E57" t="s">
        <v>54</v>
      </c>
      <c r="F57" t="s">
        <v>25</v>
      </c>
      <c r="G57" s="8">
        <v>45450</v>
      </c>
      <c r="H57" s="8">
        <v>45270</v>
      </c>
      <c r="I57" t="s">
        <v>58</v>
      </c>
      <c r="J57" t="s">
        <v>18</v>
      </c>
      <c r="K57" t="s">
        <v>19</v>
      </c>
      <c r="L57" t="s">
        <v>20</v>
      </c>
      <c r="M57" t="s">
        <v>21</v>
      </c>
      <c r="N57" t="s">
        <v>479</v>
      </c>
      <c r="O57">
        <v>2362</v>
      </c>
    </row>
    <row r="58" spans="1:15" x14ac:dyDescent="0.25">
      <c r="A58" s="9" t="s">
        <v>537</v>
      </c>
      <c r="B58" t="s">
        <v>108</v>
      </c>
      <c r="C58" t="s">
        <v>34</v>
      </c>
      <c r="D58" t="s">
        <v>107</v>
      </c>
      <c r="E58" t="s">
        <v>54</v>
      </c>
      <c r="F58" t="s">
        <v>25</v>
      </c>
      <c r="G58" s="8">
        <v>45450</v>
      </c>
      <c r="H58" s="8">
        <v>45270</v>
      </c>
      <c r="I58" t="s">
        <v>58</v>
      </c>
      <c r="J58" t="s">
        <v>18</v>
      </c>
      <c r="K58" t="s">
        <v>19</v>
      </c>
      <c r="L58" t="s">
        <v>109</v>
      </c>
      <c r="M58" t="s">
        <v>40</v>
      </c>
      <c r="N58" t="s">
        <v>479</v>
      </c>
      <c r="O58">
        <v>10000</v>
      </c>
    </row>
    <row r="59" spans="1:15" x14ac:dyDescent="0.25">
      <c r="A59" s="9" t="s">
        <v>538</v>
      </c>
      <c r="B59" t="s">
        <v>110</v>
      </c>
      <c r="C59" t="s">
        <v>28</v>
      </c>
      <c r="D59" t="s">
        <v>111</v>
      </c>
      <c r="E59" t="s">
        <v>54</v>
      </c>
      <c r="F59" t="s">
        <v>25</v>
      </c>
      <c r="G59" s="8">
        <v>45450</v>
      </c>
      <c r="H59" s="8">
        <v>45270</v>
      </c>
      <c r="I59" t="s">
        <v>58</v>
      </c>
      <c r="J59" t="s">
        <v>29</v>
      </c>
      <c r="K59" t="s">
        <v>26</v>
      </c>
      <c r="L59" t="s">
        <v>20</v>
      </c>
      <c r="M59" t="s">
        <v>21</v>
      </c>
      <c r="N59" t="s">
        <v>479</v>
      </c>
      <c r="O59">
        <v>10000</v>
      </c>
    </row>
    <row r="60" spans="1:15" x14ac:dyDescent="0.25">
      <c r="A60" s="9" t="s">
        <v>539</v>
      </c>
      <c r="B60" t="s">
        <v>112</v>
      </c>
      <c r="C60" t="s">
        <v>13</v>
      </c>
      <c r="D60" t="s">
        <v>111</v>
      </c>
      <c r="E60" t="s">
        <v>54</v>
      </c>
      <c r="F60" t="s">
        <v>25</v>
      </c>
      <c r="G60" s="8">
        <v>45450</v>
      </c>
      <c r="H60" s="8">
        <v>45270</v>
      </c>
      <c r="I60" t="s">
        <v>58</v>
      </c>
      <c r="J60" t="s">
        <v>29</v>
      </c>
      <c r="K60" t="s">
        <v>26</v>
      </c>
      <c r="L60" t="s">
        <v>20</v>
      </c>
      <c r="M60" t="s">
        <v>21</v>
      </c>
      <c r="N60" t="s">
        <v>479</v>
      </c>
      <c r="O60">
        <v>132</v>
      </c>
    </row>
    <row r="61" spans="1:15" x14ac:dyDescent="0.25">
      <c r="A61" s="9" t="s">
        <v>540</v>
      </c>
      <c r="B61" t="s">
        <v>113</v>
      </c>
      <c r="C61" t="s">
        <v>13</v>
      </c>
      <c r="D61" t="s">
        <v>114</v>
      </c>
      <c r="E61" t="s">
        <v>54</v>
      </c>
      <c r="F61" t="s">
        <v>25</v>
      </c>
      <c r="G61" s="8">
        <v>45450</v>
      </c>
      <c r="H61" s="8">
        <v>45270</v>
      </c>
      <c r="I61" t="s">
        <v>17</v>
      </c>
      <c r="J61" t="s">
        <v>18</v>
      </c>
      <c r="K61" t="s">
        <v>26</v>
      </c>
      <c r="L61" t="s">
        <v>20</v>
      </c>
      <c r="M61" t="s">
        <v>21</v>
      </c>
      <c r="N61" t="s">
        <v>479</v>
      </c>
      <c r="O61">
        <v>10000</v>
      </c>
    </row>
    <row r="62" spans="1:15" x14ac:dyDescent="0.25">
      <c r="A62" s="9" t="s">
        <v>541</v>
      </c>
      <c r="B62" t="s">
        <v>115</v>
      </c>
      <c r="C62" t="s">
        <v>28</v>
      </c>
      <c r="D62" t="s">
        <v>107</v>
      </c>
      <c r="E62" t="s">
        <v>54</v>
      </c>
      <c r="F62" t="s">
        <v>25</v>
      </c>
      <c r="G62" s="8">
        <v>45450</v>
      </c>
      <c r="H62" s="8">
        <v>45270</v>
      </c>
      <c r="I62" t="s">
        <v>17</v>
      </c>
      <c r="J62" t="s">
        <v>29</v>
      </c>
      <c r="K62" t="s">
        <v>30</v>
      </c>
      <c r="L62" t="s">
        <v>20</v>
      </c>
      <c r="M62" t="s">
        <v>21</v>
      </c>
      <c r="N62" t="s">
        <v>479</v>
      </c>
      <c r="O62">
        <v>10000</v>
      </c>
    </row>
    <row r="63" spans="1:15" x14ac:dyDescent="0.25">
      <c r="A63" s="9" t="s">
        <v>542</v>
      </c>
      <c r="B63" t="s">
        <v>116</v>
      </c>
      <c r="C63" t="s">
        <v>28</v>
      </c>
      <c r="D63" t="s">
        <v>107</v>
      </c>
      <c r="E63" t="s">
        <v>54</v>
      </c>
      <c r="F63" t="s">
        <v>25</v>
      </c>
      <c r="G63" s="8">
        <v>45450</v>
      </c>
      <c r="H63" s="8">
        <v>45270</v>
      </c>
      <c r="I63" t="s">
        <v>58</v>
      </c>
      <c r="J63" t="s">
        <v>18</v>
      </c>
      <c r="K63" t="s">
        <v>30</v>
      </c>
      <c r="L63" t="s">
        <v>20</v>
      </c>
      <c r="M63" t="s">
        <v>21</v>
      </c>
      <c r="N63" t="s">
        <v>479</v>
      </c>
      <c r="O63">
        <v>232</v>
      </c>
    </row>
    <row r="64" spans="1:15" x14ac:dyDescent="0.25">
      <c r="A64" s="9" t="s">
        <v>543</v>
      </c>
      <c r="B64" t="s">
        <v>117</v>
      </c>
      <c r="C64" t="s">
        <v>28</v>
      </c>
      <c r="D64" t="s">
        <v>107</v>
      </c>
      <c r="E64" t="s">
        <v>54</v>
      </c>
      <c r="F64" t="s">
        <v>25</v>
      </c>
      <c r="G64" s="8">
        <v>45450</v>
      </c>
      <c r="H64" s="8">
        <v>45270</v>
      </c>
      <c r="I64" t="s">
        <v>58</v>
      </c>
      <c r="J64" t="s">
        <v>18</v>
      </c>
      <c r="K64" t="s">
        <v>30</v>
      </c>
      <c r="L64" t="s">
        <v>66</v>
      </c>
      <c r="M64" t="s">
        <v>37</v>
      </c>
      <c r="N64" t="s">
        <v>479</v>
      </c>
      <c r="O64">
        <v>10000</v>
      </c>
    </row>
    <row r="65" spans="1:15" x14ac:dyDescent="0.25">
      <c r="A65" s="9" t="s">
        <v>544</v>
      </c>
      <c r="B65" t="s">
        <v>118</v>
      </c>
      <c r="C65" t="s">
        <v>34</v>
      </c>
      <c r="D65" t="s">
        <v>107</v>
      </c>
      <c r="E65" t="s">
        <v>54</v>
      </c>
      <c r="F65" t="s">
        <v>25</v>
      </c>
      <c r="G65" s="8">
        <v>45450</v>
      </c>
      <c r="H65" s="8">
        <v>45270</v>
      </c>
      <c r="I65" t="s">
        <v>58</v>
      </c>
      <c r="J65" t="s">
        <v>18</v>
      </c>
      <c r="K65" t="s">
        <v>77</v>
      </c>
      <c r="L65" t="s">
        <v>66</v>
      </c>
      <c r="M65" t="s">
        <v>37</v>
      </c>
      <c r="N65" t="s">
        <v>479</v>
      </c>
      <c r="O65">
        <v>10000</v>
      </c>
    </row>
    <row r="66" spans="1:15" x14ac:dyDescent="0.25">
      <c r="A66" s="9" t="s">
        <v>545</v>
      </c>
      <c r="B66" t="s">
        <v>119</v>
      </c>
      <c r="C66" t="s">
        <v>28</v>
      </c>
      <c r="D66" t="s">
        <v>107</v>
      </c>
      <c r="E66" t="s">
        <v>54</v>
      </c>
      <c r="F66" t="s">
        <v>25</v>
      </c>
      <c r="G66" s="8">
        <v>45450</v>
      </c>
      <c r="H66" s="8">
        <v>45270</v>
      </c>
      <c r="I66" t="s">
        <v>17</v>
      </c>
      <c r="J66" t="s">
        <v>18</v>
      </c>
      <c r="K66" t="s">
        <v>30</v>
      </c>
      <c r="L66" t="s">
        <v>120</v>
      </c>
      <c r="M66" t="s">
        <v>32</v>
      </c>
      <c r="N66" t="s">
        <v>479</v>
      </c>
      <c r="O66">
        <v>215</v>
      </c>
    </row>
    <row r="67" spans="1:15" x14ac:dyDescent="0.25">
      <c r="A67" s="9" t="s">
        <v>546</v>
      </c>
      <c r="B67" t="s">
        <v>121</v>
      </c>
      <c r="C67" t="s">
        <v>13</v>
      </c>
      <c r="D67" t="s">
        <v>122</v>
      </c>
      <c r="E67" t="s">
        <v>54</v>
      </c>
      <c r="F67" t="s">
        <v>25</v>
      </c>
      <c r="G67" s="8">
        <v>45450</v>
      </c>
      <c r="H67" s="8">
        <v>45270</v>
      </c>
      <c r="I67" t="s">
        <v>17</v>
      </c>
      <c r="J67" t="s">
        <v>18</v>
      </c>
      <c r="K67" t="s">
        <v>19</v>
      </c>
      <c r="L67" t="s">
        <v>20</v>
      </c>
      <c r="M67" t="s">
        <v>21</v>
      </c>
      <c r="N67" t="s">
        <v>479</v>
      </c>
      <c r="O67">
        <v>20000</v>
      </c>
    </row>
    <row r="68" spans="1:15" x14ac:dyDescent="0.25">
      <c r="A68" s="9" t="s">
        <v>547</v>
      </c>
      <c r="B68" t="s">
        <v>123</v>
      </c>
      <c r="C68" t="s">
        <v>13</v>
      </c>
      <c r="D68" t="s">
        <v>111</v>
      </c>
      <c r="E68" t="s">
        <v>54</v>
      </c>
      <c r="F68" t="s">
        <v>25</v>
      </c>
      <c r="G68" s="8">
        <v>45450</v>
      </c>
      <c r="H68" s="8">
        <v>45270</v>
      </c>
      <c r="I68" t="s">
        <v>17</v>
      </c>
      <c r="J68" t="s">
        <v>18</v>
      </c>
      <c r="K68" t="s">
        <v>26</v>
      </c>
      <c r="L68" t="s">
        <v>20</v>
      </c>
      <c r="M68" t="s">
        <v>21</v>
      </c>
      <c r="N68" t="s">
        <v>479</v>
      </c>
      <c r="O68">
        <v>155</v>
      </c>
    </row>
    <row r="69" spans="1:15" x14ac:dyDescent="0.25">
      <c r="A69" s="9" t="s">
        <v>548</v>
      </c>
      <c r="B69" t="s">
        <v>124</v>
      </c>
      <c r="C69" t="s">
        <v>13</v>
      </c>
      <c r="D69" t="s">
        <v>125</v>
      </c>
      <c r="E69" t="s">
        <v>54</v>
      </c>
      <c r="F69" t="s">
        <v>25</v>
      </c>
      <c r="G69" s="8">
        <v>45450</v>
      </c>
      <c r="H69" s="8">
        <v>45270</v>
      </c>
      <c r="I69" t="s">
        <v>17</v>
      </c>
      <c r="J69" t="s">
        <v>29</v>
      </c>
      <c r="K69" t="s">
        <v>30</v>
      </c>
      <c r="L69" t="s">
        <v>20</v>
      </c>
      <c r="M69" t="s">
        <v>21</v>
      </c>
      <c r="N69" t="s">
        <v>479</v>
      </c>
      <c r="O69">
        <v>20000</v>
      </c>
    </row>
    <row r="70" spans="1:15" x14ac:dyDescent="0.25">
      <c r="A70" s="9" t="s">
        <v>549</v>
      </c>
      <c r="B70" t="s">
        <v>126</v>
      </c>
      <c r="C70" t="s">
        <v>13</v>
      </c>
      <c r="D70" t="s">
        <v>127</v>
      </c>
      <c r="E70" t="s">
        <v>54</v>
      </c>
      <c r="F70" t="s">
        <v>25</v>
      </c>
      <c r="G70" s="8">
        <v>45450</v>
      </c>
      <c r="H70" s="8">
        <v>45270</v>
      </c>
      <c r="I70" t="s">
        <v>17</v>
      </c>
      <c r="J70" t="s">
        <v>18</v>
      </c>
      <c r="K70" t="s">
        <v>30</v>
      </c>
      <c r="L70" t="s">
        <v>20</v>
      </c>
      <c r="M70" t="s">
        <v>21</v>
      </c>
      <c r="N70" t="s">
        <v>479</v>
      </c>
      <c r="O70">
        <v>20000</v>
      </c>
    </row>
    <row r="71" spans="1:15" x14ac:dyDescent="0.25">
      <c r="A71" s="9" t="s">
        <v>550</v>
      </c>
      <c r="B71" t="s">
        <v>128</v>
      </c>
      <c r="C71" t="s">
        <v>129</v>
      </c>
      <c r="D71" t="s">
        <v>14</v>
      </c>
      <c r="E71" t="s">
        <v>54</v>
      </c>
      <c r="F71" t="s">
        <v>25</v>
      </c>
      <c r="G71" s="8">
        <v>45450</v>
      </c>
      <c r="H71" s="8">
        <v>45270</v>
      </c>
      <c r="I71" t="s">
        <v>17</v>
      </c>
      <c r="J71" t="s">
        <v>18</v>
      </c>
      <c r="K71" t="s">
        <v>30</v>
      </c>
      <c r="L71" t="s">
        <v>20</v>
      </c>
      <c r="M71" t="s">
        <v>21</v>
      </c>
      <c r="N71" t="s">
        <v>479</v>
      </c>
      <c r="O71">
        <v>26526</v>
      </c>
    </row>
    <row r="72" spans="1:15" x14ac:dyDescent="0.25">
      <c r="A72" s="9" t="s">
        <v>551</v>
      </c>
      <c r="B72" t="s">
        <v>130</v>
      </c>
      <c r="C72" t="s">
        <v>13</v>
      </c>
      <c r="D72" t="s">
        <v>14</v>
      </c>
      <c r="E72" t="s">
        <v>54</v>
      </c>
      <c r="F72" t="s">
        <v>25</v>
      </c>
      <c r="G72" s="8">
        <v>45450</v>
      </c>
      <c r="H72" s="8">
        <v>45270</v>
      </c>
      <c r="I72" t="s">
        <v>17</v>
      </c>
      <c r="J72" t="s">
        <v>29</v>
      </c>
      <c r="K72" t="s">
        <v>44</v>
      </c>
      <c r="L72" t="s">
        <v>66</v>
      </c>
      <c r="M72" t="s">
        <v>37</v>
      </c>
      <c r="N72" t="s">
        <v>479</v>
      </c>
      <c r="O72">
        <v>10000</v>
      </c>
    </row>
    <row r="73" spans="1:15" x14ac:dyDescent="0.25">
      <c r="A73" s="9" t="s">
        <v>552</v>
      </c>
      <c r="B73" t="s">
        <v>131</v>
      </c>
      <c r="C73" t="s">
        <v>129</v>
      </c>
      <c r="D73" t="s">
        <v>14</v>
      </c>
      <c r="E73" t="s">
        <v>54</v>
      </c>
      <c r="F73" t="s">
        <v>25</v>
      </c>
      <c r="G73" s="8">
        <v>45450</v>
      </c>
      <c r="H73" s="8">
        <v>45270</v>
      </c>
      <c r="I73" t="s">
        <v>17</v>
      </c>
      <c r="J73" t="s">
        <v>18</v>
      </c>
      <c r="K73" t="s">
        <v>26</v>
      </c>
      <c r="L73" t="s">
        <v>20</v>
      </c>
      <c r="M73" t="s">
        <v>21</v>
      </c>
      <c r="N73" t="s">
        <v>479</v>
      </c>
      <c r="O73">
        <v>10000</v>
      </c>
    </row>
    <row r="74" spans="1:15" x14ac:dyDescent="0.25">
      <c r="A74" s="9" t="s">
        <v>553</v>
      </c>
      <c r="B74" t="s">
        <v>132</v>
      </c>
      <c r="C74" t="s">
        <v>13</v>
      </c>
      <c r="D74" t="s">
        <v>14</v>
      </c>
      <c r="E74" t="s">
        <v>54</v>
      </c>
      <c r="F74" t="s">
        <v>25</v>
      </c>
      <c r="G74" s="8">
        <v>45450</v>
      </c>
      <c r="H74" s="8">
        <v>45270</v>
      </c>
      <c r="I74" t="s">
        <v>17</v>
      </c>
      <c r="J74" t="s">
        <v>18</v>
      </c>
      <c r="K74" t="s">
        <v>19</v>
      </c>
      <c r="L74" t="s">
        <v>66</v>
      </c>
      <c r="M74" t="s">
        <v>37</v>
      </c>
      <c r="N74" t="s">
        <v>479</v>
      </c>
      <c r="O74">
        <v>262</v>
      </c>
    </row>
    <row r="75" spans="1:15" x14ac:dyDescent="0.25">
      <c r="A75" s="9" t="s">
        <v>554</v>
      </c>
      <c r="B75" t="s">
        <v>133</v>
      </c>
      <c r="C75" t="s">
        <v>28</v>
      </c>
      <c r="D75" t="s">
        <v>14</v>
      </c>
      <c r="E75" t="s">
        <v>54</v>
      </c>
      <c r="F75" t="s">
        <v>25</v>
      </c>
      <c r="G75" s="8">
        <v>45451</v>
      </c>
      <c r="H75" s="8">
        <v>45271</v>
      </c>
      <c r="I75" t="s">
        <v>58</v>
      </c>
      <c r="J75" t="s">
        <v>18</v>
      </c>
      <c r="K75" t="s">
        <v>30</v>
      </c>
      <c r="L75" t="s">
        <v>83</v>
      </c>
      <c r="M75" t="s">
        <v>37</v>
      </c>
      <c r="N75" t="s">
        <v>479</v>
      </c>
      <c r="O75">
        <v>10000</v>
      </c>
    </row>
    <row r="76" spans="1:15" x14ac:dyDescent="0.25">
      <c r="A76" s="9" t="s">
        <v>555</v>
      </c>
      <c r="B76" t="s">
        <v>134</v>
      </c>
      <c r="C76" t="s">
        <v>34</v>
      </c>
      <c r="D76" t="s">
        <v>14</v>
      </c>
      <c r="E76" t="s">
        <v>54</v>
      </c>
      <c r="F76" t="s">
        <v>25</v>
      </c>
      <c r="G76" s="8">
        <v>45451</v>
      </c>
      <c r="H76" s="8">
        <v>45271</v>
      </c>
      <c r="I76" t="s">
        <v>17</v>
      </c>
      <c r="J76" t="s">
        <v>18</v>
      </c>
      <c r="K76" t="s">
        <v>30</v>
      </c>
      <c r="L76" t="s">
        <v>66</v>
      </c>
      <c r="M76" t="s">
        <v>37</v>
      </c>
      <c r="N76" t="s">
        <v>479</v>
      </c>
      <c r="O76">
        <v>10000</v>
      </c>
    </row>
    <row r="77" spans="1:15" x14ac:dyDescent="0.25">
      <c r="A77" s="9" t="s">
        <v>556</v>
      </c>
      <c r="B77" t="s">
        <v>135</v>
      </c>
      <c r="C77" t="s">
        <v>34</v>
      </c>
      <c r="D77" t="s">
        <v>14</v>
      </c>
      <c r="E77" t="s">
        <v>54</v>
      </c>
      <c r="F77" t="s">
        <v>25</v>
      </c>
      <c r="G77" s="8">
        <v>45451</v>
      </c>
      <c r="H77" s="8">
        <v>45271</v>
      </c>
      <c r="I77" t="s">
        <v>17</v>
      </c>
      <c r="J77" t="s">
        <v>18</v>
      </c>
      <c r="K77" t="s">
        <v>44</v>
      </c>
      <c r="L77" t="s">
        <v>66</v>
      </c>
      <c r="M77" t="s">
        <v>37</v>
      </c>
      <c r="N77" t="s">
        <v>479</v>
      </c>
      <c r="O77">
        <v>1626</v>
      </c>
    </row>
    <row r="78" spans="1:15" x14ac:dyDescent="0.25">
      <c r="A78" s="9" t="s">
        <v>557</v>
      </c>
      <c r="B78" t="s">
        <v>136</v>
      </c>
      <c r="C78" t="s">
        <v>28</v>
      </c>
      <c r="D78" t="s">
        <v>14</v>
      </c>
      <c r="E78" t="s">
        <v>54</v>
      </c>
      <c r="F78" t="s">
        <v>25</v>
      </c>
      <c r="G78" s="8">
        <v>45451</v>
      </c>
      <c r="H78" s="8">
        <v>45271</v>
      </c>
      <c r="I78" t="s">
        <v>17</v>
      </c>
      <c r="J78" t="s">
        <v>18</v>
      </c>
      <c r="K78" t="s">
        <v>19</v>
      </c>
      <c r="L78" t="s">
        <v>137</v>
      </c>
      <c r="M78" t="s">
        <v>21</v>
      </c>
      <c r="N78" t="s">
        <v>479</v>
      </c>
      <c r="O78">
        <v>10000</v>
      </c>
    </row>
    <row r="79" spans="1:15" x14ac:dyDescent="0.25">
      <c r="A79" s="9" t="s">
        <v>558</v>
      </c>
      <c r="B79" t="s">
        <v>138</v>
      </c>
      <c r="C79" t="s">
        <v>28</v>
      </c>
      <c r="D79" t="s">
        <v>14</v>
      </c>
      <c r="E79" t="s">
        <v>54</v>
      </c>
      <c r="F79" t="s">
        <v>25</v>
      </c>
      <c r="G79" s="8">
        <v>45451</v>
      </c>
      <c r="H79" s="8">
        <v>45271</v>
      </c>
      <c r="I79" t="s">
        <v>17</v>
      </c>
      <c r="J79" t="s">
        <v>18</v>
      </c>
      <c r="K79" t="s">
        <v>30</v>
      </c>
      <c r="L79" t="s">
        <v>137</v>
      </c>
      <c r="M79" t="s">
        <v>21</v>
      </c>
      <c r="N79" t="s">
        <v>479</v>
      </c>
      <c r="O79">
        <v>10000</v>
      </c>
    </row>
    <row r="80" spans="1:15" x14ac:dyDescent="0.25">
      <c r="A80" s="9" t="s">
        <v>559</v>
      </c>
      <c r="B80" t="s">
        <v>139</v>
      </c>
      <c r="C80" t="s">
        <v>34</v>
      </c>
      <c r="D80" t="s">
        <v>14</v>
      </c>
      <c r="E80" t="s">
        <v>54</v>
      </c>
      <c r="F80" t="s">
        <v>25</v>
      </c>
      <c r="G80" s="8">
        <v>45451</v>
      </c>
      <c r="H80" s="8">
        <v>45271</v>
      </c>
      <c r="I80" t="s">
        <v>17</v>
      </c>
      <c r="J80" t="s">
        <v>18</v>
      </c>
      <c r="K80" t="s">
        <v>77</v>
      </c>
      <c r="L80" t="s">
        <v>140</v>
      </c>
      <c r="M80" t="s">
        <v>37</v>
      </c>
      <c r="N80" t="s">
        <v>479</v>
      </c>
      <c r="O80">
        <v>266</v>
      </c>
    </row>
    <row r="81" spans="1:15" x14ac:dyDescent="0.25">
      <c r="A81" s="9" t="s">
        <v>560</v>
      </c>
      <c r="B81" t="s">
        <v>141</v>
      </c>
      <c r="C81" t="s">
        <v>34</v>
      </c>
      <c r="D81" t="s">
        <v>14</v>
      </c>
      <c r="E81" t="s">
        <v>54</v>
      </c>
      <c r="F81" t="s">
        <v>25</v>
      </c>
      <c r="G81" s="8">
        <v>45451</v>
      </c>
      <c r="H81" s="8">
        <v>45271</v>
      </c>
      <c r="I81" t="s">
        <v>17</v>
      </c>
      <c r="J81" t="s">
        <v>18</v>
      </c>
      <c r="K81" t="s">
        <v>26</v>
      </c>
      <c r="L81" t="s">
        <v>137</v>
      </c>
      <c r="M81" t="s">
        <v>21</v>
      </c>
      <c r="N81" t="s">
        <v>479</v>
      </c>
      <c r="O81">
        <v>10000</v>
      </c>
    </row>
    <row r="82" spans="1:15" x14ac:dyDescent="0.25">
      <c r="A82" s="9" t="s">
        <v>561</v>
      </c>
      <c r="B82" t="s">
        <v>142</v>
      </c>
      <c r="C82" t="s">
        <v>34</v>
      </c>
      <c r="D82" t="s">
        <v>35</v>
      </c>
      <c r="E82" t="s">
        <v>54</v>
      </c>
      <c r="F82" t="s">
        <v>25</v>
      </c>
      <c r="G82" s="8">
        <v>45451</v>
      </c>
      <c r="H82" s="8">
        <v>45271</v>
      </c>
      <c r="I82" t="s">
        <v>17</v>
      </c>
      <c r="J82" t="s">
        <v>29</v>
      </c>
      <c r="K82" t="s">
        <v>77</v>
      </c>
      <c r="L82" t="s">
        <v>20</v>
      </c>
      <c r="M82" t="s">
        <v>21</v>
      </c>
      <c r="N82" t="s">
        <v>479</v>
      </c>
      <c r="O82">
        <v>10000</v>
      </c>
    </row>
    <row r="83" spans="1:15" x14ac:dyDescent="0.25">
      <c r="A83" s="9" t="s">
        <v>562</v>
      </c>
      <c r="B83" t="s">
        <v>143</v>
      </c>
      <c r="C83" t="s">
        <v>34</v>
      </c>
      <c r="D83" t="s">
        <v>14</v>
      </c>
      <c r="E83" t="s">
        <v>54</v>
      </c>
      <c r="F83" t="s">
        <v>25</v>
      </c>
      <c r="G83" s="8">
        <v>45451</v>
      </c>
      <c r="H83" s="8">
        <v>45271</v>
      </c>
      <c r="I83" t="s">
        <v>17</v>
      </c>
      <c r="J83" t="s">
        <v>18</v>
      </c>
      <c r="K83" t="s">
        <v>77</v>
      </c>
      <c r="L83" t="s">
        <v>20</v>
      </c>
      <c r="M83" t="s">
        <v>21</v>
      </c>
      <c r="N83" t="s">
        <v>479</v>
      </c>
      <c r="O83">
        <v>16</v>
      </c>
    </row>
    <row r="84" spans="1:15" x14ac:dyDescent="0.25">
      <c r="A84" s="9" t="s">
        <v>563</v>
      </c>
      <c r="B84" t="s">
        <v>144</v>
      </c>
      <c r="C84" t="s">
        <v>34</v>
      </c>
      <c r="D84" t="s">
        <v>14</v>
      </c>
      <c r="E84" t="s">
        <v>54</v>
      </c>
      <c r="F84" t="s">
        <v>25</v>
      </c>
      <c r="G84" s="8">
        <v>45451</v>
      </c>
      <c r="H84" s="8">
        <v>45271</v>
      </c>
      <c r="I84" t="s">
        <v>17</v>
      </c>
      <c r="J84" t="s">
        <v>18</v>
      </c>
      <c r="K84" t="s">
        <v>26</v>
      </c>
      <c r="L84" t="s">
        <v>20</v>
      </c>
      <c r="M84" t="s">
        <v>21</v>
      </c>
      <c r="N84" t="s">
        <v>479</v>
      </c>
      <c r="O84">
        <v>1000</v>
      </c>
    </row>
    <row r="85" spans="1:15" x14ac:dyDescent="0.25">
      <c r="A85" s="9" t="s">
        <v>564</v>
      </c>
      <c r="B85" t="s">
        <v>145</v>
      </c>
      <c r="C85" t="s">
        <v>28</v>
      </c>
      <c r="D85" t="s">
        <v>14</v>
      </c>
      <c r="E85" t="s">
        <v>54</v>
      </c>
      <c r="F85" t="s">
        <v>25</v>
      </c>
      <c r="G85" s="8">
        <v>45451</v>
      </c>
      <c r="H85" s="8">
        <v>45271</v>
      </c>
      <c r="I85" t="s">
        <v>17</v>
      </c>
      <c r="J85" t="s">
        <v>18</v>
      </c>
      <c r="K85" t="s">
        <v>26</v>
      </c>
      <c r="L85" t="s">
        <v>20</v>
      </c>
      <c r="M85" t="s">
        <v>21</v>
      </c>
      <c r="N85" t="s">
        <v>479</v>
      </c>
      <c r="O85">
        <v>1000</v>
      </c>
    </row>
    <row r="86" spans="1:15" x14ac:dyDescent="0.25">
      <c r="A86" s="9" t="s">
        <v>565</v>
      </c>
      <c r="B86" t="s">
        <v>146</v>
      </c>
      <c r="C86" t="s">
        <v>34</v>
      </c>
      <c r="D86" t="s">
        <v>14</v>
      </c>
      <c r="E86" t="s">
        <v>54</v>
      </c>
      <c r="F86" t="s">
        <v>25</v>
      </c>
      <c r="G86" s="8">
        <v>45451</v>
      </c>
      <c r="H86" s="8">
        <v>45271</v>
      </c>
      <c r="I86" t="s">
        <v>17</v>
      </c>
      <c r="J86" t="s">
        <v>18</v>
      </c>
      <c r="K86" t="s">
        <v>19</v>
      </c>
      <c r="L86" t="s">
        <v>20</v>
      </c>
      <c r="M86" t="s">
        <v>21</v>
      </c>
      <c r="N86" t="s">
        <v>479</v>
      </c>
      <c r="O86">
        <v>616</v>
      </c>
    </row>
    <row r="87" spans="1:15" x14ac:dyDescent="0.25">
      <c r="A87" s="9" t="s">
        <v>566</v>
      </c>
      <c r="B87" t="s">
        <v>147</v>
      </c>
      <c r="C87" t="s">
        <v>28</v>
      </c>
      <c r="D87" t="s">
        <v>14</v>
      </c>
      <c r="E87" t="s">
        <v>54</v>
      </c>
      <c r="F87" t="s">
        <v>25</v>
      </c>
      <c r="G87" s="8">
        <v>45451</v>
      </c>
      <c r="H87" s="8">
        <v>45271</v>
      </c>
      <c r="I87" t="s">
        <v>17</v>
      </c>
      <c r="J87" t="s">
        <v>18</v>
      </c>
      <c r="K87" t="s">
        <v>44</v>
      </c>
      <c r="L87" t="s">
        <v>20</v>
      </c>
      <c r="M87" t="s">
        <v>21</v>
      </c>
      <c r="N87" t="s">
        <v>479</v>
      </c>
      <c r="O87">
        <v>1000</v>
      </c>
    </row>
    <row r="88" spans="1:15" x14ac:dyDescent="0.25">
      <c r="A88" s="9" t="s">
        <v>567</v>
      </c>
      <c r="B88" t="s">
        <v>148</v>
      </c>
      <c r="C88" t="s">
        <v>28</v>
      </c>
      <c r="D88" t="s">
        <v>14</v>
      </c>
      <c r="E88" t="s">
        <v>54</v>
      </c>
      <c r="F88" t="s">
        <v>25</v>
      </c>
      <c r="G88" s="8">
        <v>45451</v>
      </c>
      <c r="H88" s="8">
        <v>45271</v>
      </c>
      <c r="I88" t="s">
        <v>17</v>
      </c>
      <c r="J88" t="s">
        <v>18</v>
      </c>
      <c r="K88" t="s">
        <v>44</v>
      </c>
      <c r="L88" t="s">
        <v>66</v>
      </c>
      <c r="M88" t="s">
        <v>37</v>
      </c>
      <c r="N88" t="s">
        <v>479</v>
      </c>
      <c r="O88">
        <v>1000</v>
      </c>
    </row>
    <row r="89" spans="1:15" x14ac:dyDescent="0.25">
      <c r="A89" s="9" t="s">
        <v>568</v>
      </c>
      <c r="B89" t="s">
        <v>149</v>
      </c>
      <c r="C89" t="s">
        <v>28</v>
      </c>
      <c r="D89" t="s">
        <v>14</v>
      </c>
      <c r="E89" t="s">
        <v>54</v>
      </c>
      <c r="F89" t="s">
        <v>25</v>
      </c>
      <c r="G89" s="8">
        <v>45451</v>
      </c>
      <c r="H89" s="8">
        <v>45271</v>
      </c>
      <c r="I89" t="s">
        <v>17</v>
      </c>
      <c r="J89" t="s">
        <v>18</v>
      </c>
      <c r="K89" t="s">
        <v>77</v>
      </c>
      <c r="L89" t="s">
        <v>78</v>
      </c>
      <c r="M89" t="s">
        <v>37</v>
      </c>
      <c r="N89" t="s">
        <v>479</v>
      </c>
      <c r="O89">
        <v>1662</v>
      </c>
    </row>
    <row r="90" spans="1:15" x14ac:dyDescent="0.25">
      <c r="A90" s="9" t="s">
        <v>569</v>
      </c>
      <c r="B90" t="s">
        <v>150</v>
      </c>
      <c r="C90" t="s">
        <v>34</v>
      </c>
      <c r="D90" t="s">
        <v>14</v>
      </c>
      <c r="E90" t="s">
        <v>54</v>
      </c>
      <c r="F90" t="s">
        <v>25</v>
      </c>
      <c r="G90" s="8">
        <v>45451</v>
      </c>
      <c r="H90" s="8">
        <v>45271</v>
      </c>
      <c r="I90" t="s">
        <v>17</v>
      </c>
      <c r="J90" t="s">
        <v>18</v>
      </c>
      <c r="K90" t="s">
        <v>26</v>
      </c>
      <c r="L90" t="s">
        <v>20</v>
      </c>
      <c r="M90" t="s">
        <v>21</v>
      </c>
      <c r="N90" t="s">
        <v>479</v>
      </c>
      <c r="O90">
        <v>10000</v>
      </c>
    </row>
    <row r="91" spans="1:15" x14ac:dyDescent="0.25">
      <c r="A91" s="9" t="s">
        <v>570</v>
      </c>
      <c r="B91" t="s">
        <v>151</v>
      </c>
      <c r="C91" t="s">
        <v>28</v>
      </c>
      <c r="D91" t="s">
        <v>14</v>
      </c>
      <c r="E91" t="s">
        <v>54</v>
      </c>
      <c r="F91" t="s">
        <v>25</v>
      </c>
      <c r="G91" s="8">
        <v>45451</v>
      </c>
      <c r="H91" s="8">
        <v>45271</v>
      </c>
      <c r="I91" t="s">
        <v>17</v>
      </c>
      <c r="J91" t="s">
        <v>18</v>
      </c>
      <c r="K91" t="s">
        <v>30</v>
      </c>
      <c r="L91" t="s">
        <v>20</v>
      </c>
      <c r="M91" t="s">
        <v>21</v>
      </c>
      <c r="N91" t="s">
        <v>479</v>
      </c>
      <c r="O91">
        <v>16326</v>
      </c>
    </row>
    <row r="92" spans="1:15" x14ac:dyDescent="0.25">
      <c r="A92" s="9" t="s">
        <v>571</v>
      </c>
      <c r="B92" t="s">
        <v>99</v>
      </c>
      <c r="C92" t="s">
        <v>28</v>
      </c>
      <c r="D92" t="s">
        <v>14</v>
      </c>
      <c r="E92" t="s">
        <v>54</v>
      </c>
      <c r="F92" t="s">
        <v>25</v>
      </c>
      <c r="G92" s="8">
        <v>45451</v>
      </c>
      <c r="H92" s="8">
        <v>45271</v>
      </c>
      <c r="I92" t="s">
        <v>17</v>
      </c>
      <c r="J92" t="s">
        <v>29</v>
      </c>
      <c r="K92" t="s">
        <v>77</v>
      </c>
      <c r="L92" t="s">
        <v>20</v>
      </c>
      <c r="M92" t="s">
        <v>21</v>
      </c>
      <c r="N92" t="s">
        <v>479</v>
      </c>
      <c r="O92">
        <v>10000</v>
      </c>
    </row>
    <row r="93" spans="1:15" x14ac:dyDescent="0.25">
      <c r="A93" s="9" t="s">
        <v>572</v>
      </c>
      <c r="B93" t="s">
        <v>152</v>
      </c>
      <c r="C93" t="s">
        <v>34</v>
      </c>
      <c r="D93" t="s">
        <v>14</v>
      </c>
      <c r="E93" t="s">
        <v>54</v>
      </c>
      <c r="F93" t="s">
        <v>25</v>
      </c>
      <c r="G93" s="8">
        <v>45451</v>
      </c>
      <c r="H93" s="8">
        <v>45271</v>
      </c>
      <c r="I93" t="s">
        <v>17</v>
      </c>
      <c r="J93" t="s">
        <v>18</v>
      </c>
      <c r="K93" t="s">
        <v>30</v>
      </c>
      <c r="L93" t="s">
        <v>20</v>
      </c>
      <c r="M93" t="s">
        <v>21</v>
      </c>
      <c r="N93" t="s">
        <v>479</v>
      </c>
      <c r="O93">
        <v>26265</v>
      </c>
    </row>
    <row r="94" spans="1:15" x14ac:dyDescent="0.25">
      <c r="A94" s="9" t="s">
        <v>573</v>
      </c>
      <c r="B94" t="s">
        <v>153</v>
      </c>
      <c r="C94" t="s">
        <v>13</v>
      </c>
      <c r="D94" t="s">
        <v>14</v>
      </c>
      <c r="E94" t="s">
        <v>54</v>
      </c>
      <c r="F94" t="s">
        <v>25</v>
      </c>
      <c r="G94" s="8">
        <v>45451</v>
      </c>
      <c r="H94" s="8">
        <v>45271</v>
      </c>
      <c r="I94" t="s">
        <v>17</v>
      </c>
      <c r="J94" t="s">
        <v>18</v>
      </c>
      <c r="K94" t="s">
        <v>30</v>
      </c>
      <c r="L94" t="s">
        <v>20</v>
      </c>
      <c r="M94" t="s">
        <v>21</v>
      </c>
      <c r="N94" t="s">
        <v>479</v>
      </c>
      <c r="O94">
        <v>2162</v>
      </c>
    </row>
    <row r="95" spans="1:15" x14ac:dyDescent="0.25">
      <c r="A95" s="9" t="s">
        <v>574</v>
      </c>
      <c r="B95" t="s">
        <v>154</v>
      </c>
      <c r="C95" t="s">
        <v>13</v>
      </c>
      <c r="D95" t="s">
        <v>14</v>
      </c>
      <c r="E95" t="s">
        <v>54</v>
      </c>
      <c r="F95" t="s">
        <v>25</v>
      </c>
      <c r="G95" s="8">
        <v>45451</v>
      </c>
      <c r="H95" s="8">
        <v>45271</v>
      </c>
      <c r="I95" t="s">
        <v>58</v>
      </c>
      <c r="J95" t="s">
        <v>18</v>
      </c>
      <c r="K95" t="s">
        <v>30</v>
      </c>
      <c r="L95" t="s">
        <v>66</v>
      </c>
      <c r="M95" t="s">
        <v>37</v>
      </c>
      <c r="N95" t="s">
        <v>479</v>
      </c>
      <c r="O95">
        <v>10000</v>
      </c>
    </row>
    <row r="96" spans="1:15" x14ac:dyDescent="0.25">
      <c r="A96" s="9" t="s">
        <v>575</v>
      </c>
      <c r="B96" t="s">
        <v>155</v>
      </c>
      <c r="C96" t="s">
        <v>129</v>
      </c>
      <c r="D96" t="s">
        <v>14</v>
      </c>
      <c r="E96" t="s">
        <v>54</v>
      </c>
      <c r="F96" t="s">
        <v>25</v>
      </c>
      <c r="G96" s="8">
        <v>45451</v>
      </c>
      <c r="H96" s="8">
        <v>45271</v>
      </c>
      <c r="I96" t="s">
        <v>58</v>
      </c>
      <c r="J96" t="s">
        <v>18</v>
      </c>
      <c r="K96" t="s">
        <v>26</v>
      </c>
      <c r="L96" t="s">
        <v>20</v>
      </c>
      <c r="M96" t="s">
        <v>21</v>
      </c>
      <c r="N96" t="s">
        <v>479</v>
      </c>
      <c r="O96">
        <v>16521</v>
      </c>
    </row>
    <row r="97" spans="1:15" x14ac:dyDescent="0.25">
      <c r="A97" s="9" t="s">
        <v>576</v>
      </c>
      <c r="B97" t="s">
        <v>156</v>
      </c>
      <c r="C97" t="s">
        <v>129</v>
      </c>
      <c r="D97" t="s">
        <v>14</v>
      </c>
      <c r="E97" t="s">
        <v>54</v>
      </c>
      <c r="F97" t="s">
        <v>25</v>
      </c>
      <c r="G97" s="8">
        <v>45451</v>
      </c>
      <c r="H97" s="8">
        <v>45271</v>
      </c>
      <c r="I97" t="s">
        <v>58</v>
      </c>
      <c r="J97" t="s">
        <v>18</v>
      </c>
      <c r="K97" t="s">
        <v>19</v>
      </c>
      <c r="L97" t="s">
        <v>157</v>
      </c>
      <c r="M97" t="s">
        <v>37</v>
      </c>
      <c r="N97" t="s">
        <v>479</v>
      </c>
      <c r="O97">
        <v>21625</v>
      </c>
    </row>
    <row r="98" spans="1:15" x14ac:dyDescent="0.25">
      <c r="A98" s="9" t="s">
        <v>577</v>
      </c>
      <c r="B98" t="s">
        <v>102</v>
      </c>
      <c r="C98" t="s">
        <v>13</v>
      </c>
      <c r="D98" t="s">
        <v>14</v>
      </c>
      <c r="E98" t="s">
        <v>54</v>
      </c>
      <c r="F98" t="s">
        <v>25</v>
      </c>
      <c r="G98" s="8">
        <v>45451</v>
      </c>
      <c r="H98" s="8">
        <v>45271</v>
      </c>
      <c r="I98" t="s">
        <v>58</v>
      </c>
      <c r="J98" t="s">
        <v>18</v>
      </c>
      <c r="K98" t="s">
        <v>19</v>
      </c>
      <c r="L98" t="s">
        <v>50</v>
      </c>
      <c r="M98" t="s">
        <v>32</v>
      </c>
      <c r="N98" t="s">
        <v>479</v>
      </c>
      <c r="O98">
        <v>6526</v>
      </c>
    </row>
    <row r="99" spans="1:15" x14ac:dyDescent="0.25">
      <c r="A99" s="9" t="s">
        <v>578</v>
      </c>
      <c r="B99" t="s">
        <v>103</v>
      </c>
      <c r="C99" t="s">
        <v>13</v>
      </c>
      <c r="D99" t="s">
        <v>14</v>
      </c>
      <c r="E99" t="s">
        <v>54</v>
      </c>
      <c r="F99" t="s">
        <v>25</v>
      </c>
      <c r="G99" s="8">
        <v>45451</v>
      </c>
      <c r="H99" s="8">
        <v>45271</v>
      </c>
      <c r="I99" t="s">
        <v>58</v>
      </c>
      <c r="J99" t="s">
        <v>18</v>
      </c>
      <c r="K99" t="s">
        <v>26</v>
      </c>
      <c r="L99" t="s">
        <v>158</v>
      </c>
      <c r="M99" t="s">
        <v>37</v>
      </c>
      <c r="N99" t="s">
        <v>479</v>
      </c>
      <c r="O99">
        <v>655</v>
      </c>
    </row>
    <row r="100" spans="1:15" x14ac:dyDescent="0.25">
      <c r="A100" s="9" t="s">
        <v>579</v>
      </c>
      <c r="B100" t="s">
        <v>104</v>
      </c>
      <c r="C100" t="s">
        <v>13</v>
      </c>
      <c r="D100" t="s">
        <v>14</v>
      </c>
      <c r="E100" t="s">
        <v>54</v>
      </c>
      <c r="F100" t="s">
        <v>25</v>
      </c>
      <c r="G100" s="8">
        <v>45451</v>
      </c>
      <c r="H100" s="8">
        <v>45271</v>
      </c>
      <c r="I100" t="s">
        <v>58</v>
      </c>
      <c r="J100" t="s">
        <v>29</v>
      </c>
      <c r="K100" t="s">
        <v>19</v>
      </c>
      <c r="L100" t="s">
        <v>20</v>
      </c>
      <c r="M100" t="s">
        <v>21</v>
      </c>
      <c r="N100" t="s">
        <v>479</v>
      </c>
      <c r="O100">
        <v>62146</v>
      </c>
    </row>
    <row r="101" spans="1:15" x14ac:dyDescent="0.25">
      <c r="A101" s="9" t="s">
        <v>580</v>
      </c>
      <c r="B101" t="s">
        <v>105</v>
      </c>
      <c r="C101" t="s">
        <v>13</v>
      </c>
      <c r="D101" t="s">
        <v>14</v>
      </c>
      <c r="E101" t="s">
        <v>54</v>
      </c>
      <c r="F101" t="s">
        <v>25</v>
      </c>
      <c r="G101" s="8">
        <v>45451</v>
      </c>
      <c r="H101" s="8">
        <v>45271</v>
      </c>
      <c r="I101" t="s">
        <v>58</v>
      </c>
      <c r="J101" t="s">
        <v>18</v>
      </c>
      <c r="K101" t="s">
        <v>44</v>
      </c>
      <c r="L101" t="s">
        <v>66</v>
      </c>
      <c r="M101" t="s">
        <v>37</v>
      </c>
      <c r="N101" t="s">
        <v>479</v>
      </c>
      <c r="O101">
        <v>2656</v>
      </c>
    </row>
    <row r="102" spans="1:15" x14ac:dyDescent="0.25">
      <c r="A102" s="9" t="s">
        <v>581</v>
      </c>
      <c r="B102" t="s">
        <v>106</v>
      </c>
      <c r="C102" t="s">
        <v>34</v>
      </c>
      <c r="D102" t="s">
        <v>14</v>
      </c>
      <c r="E102" t="s">
        <v>54</v>
      </c>
      <c r="F102" t="s">
        <v>25</v>
      </c>
      <c r="G102" s="8">
        <v>45451</v>
      </c>
      <c r="H102" s="8">
        <v>45271</v>
      </c>
      <c r="I102" t="s">
        <v>58</v>
      </c>
      <c r="J102" t="s">
        <v>18</v>
      </c>
      <c r="K102" t="s">
        <v>19</v>
      </c>
      <c r="L102" t="s">
        <v>20</v>
      </c>
      <c r="M102" t="s">
        <v>21</v>
      </c>
      <c r="N102" t="s">
        <v>479</v>
      </c>
      <c r="O102">
        <v>216</v>
      </c>
    </row>
    <row r="103" spans="1:15" x14ac:dyDescent="0.25">
      <c r="A103" s="9" t="s">
        <v>582</v>
      </c>
      <c r="B103" t="s">
        <v>108</v>
      </c>
      <c r="C103" t="s">
        <v>28</v>
      </c>
      <c r="D103" t="s">
        <v>14</v>
      </c>
      <c r="E103" t="s">
        <v>54</v>
      </c>
      <c r="F103" t="s">
        <v>25</v>
      </c>
      <c r="G103" s="8">
        <v>45451</v>
      </c>
      <c r="H103" s="8">
        <v>45271</v>
      </c>
      <c r="I103" t="s">
        <v>58</v>
      </c>
      <c r="J103" t="s">
        <v>18</v>
      </c>
      <c r="K103" t="s">
        <v>26</v>
      </c>
      <c r="L103" t="s">
        <v>20</v>
      </c>
      <c r="M103" t="s">
        <v>21</v>
      </c>
      <c r="N103" t="s">
        <v>479</v>
      </c>
      <c r="O103">
        <v>65143</v>
      </c>
    </row>
    <row r="104" spans="1:15" x14ac:dyDescent="0.25">
      <c r="A104" s="9" t="s">
        <v>583</v>
      </c>
      <c r="B104" t="s">
        <v>110</v>
      </c>
      <c r="C104" t="s">
        <v>28</v>
      </c>
      <c r="D104" t="s">
        <v>14</v>
      </c>
      <c r="E104" t="s">
        <v>54</v>
      </c>
      <c r="F104" t="s">
        <v>25</v>
      </c>
      <c r="G104" s="8">
        <v>45451</v>
      </c>
      <c r="H104" s="8">
        <v>45271</v>
      </c>
      <c r="I104" t="s">
        <v>58</v>
      </c>
      <c r="J104" t="s">
        <v>18</v>
      </c>
      <c r="K104" t="s">
        <v>19</v>
      </c>
      <c r="L104" t="s">
        <v>20</v>
      </c>
      <c r="M104" t="s">
        <v>21</v>
      </c>
      <c r="N104" t="s">
        <v>479</v>
      </c>
      <c r="O104">
        <v>10000</v>
      </c>
    </row>
    <row r="105" spans="1:15" x14ac:dyDescent="0.25">
      <c r="A105" s="9" t="s">
        <v>584</v>
      </c>
      <c r="B105" t="s">
        <v>112</v>
      </c>
      <c r="C105" t="s">
        <v>28</v>
      </c>
      <c r="D105" t="s">
        <v>14</v>
      </c>
      <c r="E105" t="s">
        <v>54</v>
      </c>
      <c r="F105" t="s">
        <v>25</v>
      </c>
      <c r="G105" s="8">
        <v>45451</v>
      </c>
      <c r="H105" s="8">
        <v>45271</v>
      </c>
      <c r="I105" t="s">
        <v>17</v>
      </c>
      <c r="J105" t="s">
        <v>18</v>
      </c>
      <c r="K105" t="s">
        <v>26</v>
      </c>
      <c r="L105" t="s">
        <v>20</v>
      </c>
      <c r="M105" t="s">
        <v>21</v>
      </c>
      <c r="N105" t="s">
        <v>479</v>
      </c>
      <c r="O105">
        <v>10000</v>
      </c>
    </row>
    <row r="106" spans="1:15" x14ac:dyDescent="0.25">
      <c r="A106" s="9" t="s">
        <v>585</v>
      </c>
      <c r="B106" t="s">
        <v>113</v>
      </c>
      <c r="C106" t="s">
        <v>34</v>
      </c>
      <c r="D106" t="s">
        <v>14</v>
      </c>
      <c r="E106" t="s">
        <v>54</v>
      </c>
      <c r="F106" t="s">
        <v>25</v>
      </c>
      <c r="G106" s="8">
        <v>45451</v>
      </c>
      <c r="H106" s="8">
        <v>45271</v>
      </c>
      <c r="I106" t="s">
        <v>17</v>
      </c>
      <c r="J106" t="s">
        <v>18</v>
      </c>
      <c r="K106" t="s">
        <v>44</v>
      </c>
      <c r="L106" t="s">
        <v>20</v>
      </c>
      <c r="M106" t="s">
        <v>21</v>
      </c>
      <c r="N106" t="s">
        <v>479</v>
      </c>
      <c r="O106">
        <v>5000</v>
      </c>
    </row>
    <row r="107" spans="1:15" x14ac:dyDescent="0.25">
      <c r="A107" s="9" t="s">
        <v>586</v>
      </c>
      <c r="B107" t="s">
        <v>115</v>
      </c>
      <c r="C107" t="s">
        <v>28</v>
      </c>
      <c r="D107" t="s">
        <v>14</v>
      </c>
      <c r="E107" t="s">
        <v>54</v>
      </c>
      <c r="F107" t="s">
        <v>25</v>
      </c>
      <c r="G107" s="8">
        <v>45451</v>
      </c>
      <c r="H107" s="8">
        <v>45271</v>
      </c>
      <c r="I107" t="s">
        <v>17</v>
      </c>
      <c r="J107" t="s">
        <v>18</v>
      </c>
      <c r="K107" t="s">
        <v>19</v>
      </c>
      <c r="L107" t="s">
        <v>20</v>
      </c>
      <c r="M107" t="s">
        <v>21</v>
      </c>
      <c r="N107" t="s">
        <v>479</v>
      </c>
      <c r="O107">
        <v>5000</v>
      </c>
    </row>
    <row r="108" spans="1:15" x14ac:dyDescent="0.25">
      <c r="A108" s="9" t="s">
        <v>587</v>
      </c>
      <c r="B108" t="s">
        <v>116</v>
      </c>
      <c r="C108" t="s">
        <v>28</v>
      </c>
      <c r="D108" t="s">
        <v>14</v>
      </c>
      <c r="E108" t="s">
        <v>54</v>
      </c>
      <c r="F108" t="s">
        <v>25</v>
      </c>
      <c r="G108" s="8">
        <v>45451</v>
      </c>
      <c r="H108" s="8">
        <v>45271</v>
      </c>
      <c r="I108" t="s">
        <v>17</v>
      </c>
      <c r="J108" t="s">
        <v>18</v>
      </c>
      <c r="K108" t="s">
        <v>19</v>
      </c>
      <c r="L108" t="s">
        <v>20</v>
      </c>
      <c r="M108" t="s">
        <v>21</v>
      </c>
      <c r="N108" t="s">
        <v>479</v>
      </c>
      <c r="O108">
        <v>5000</v>
      </c>
    </row>
    <row r="109" spans="1:15" x14ac:dyDescent="0.25">
      <c r="A109" s="9" t="s">
        <v>588</v>
      </c>
      <c r="B109" t="s">
        <v>117</v>
      </c>
      <c r="C109" t="s">
        <v>28</v>
      </c>
      <c r="D109" t="s">
        <v>14</v>
      </c>
      <c r="E109" t="s">
        <v>54</v>
      </c>
      <c r="F109" t="s">
        <v>25</v>
      </c>
      <c r="G109" s="8">
        <v>45451</v>
      </c>
      <c r="H109" s="8">
        <v>45271</v>
      </c>
      <c r="I109" t="s">
        <v>17</v>
      </c>
      <c r="J109" t="s">
        <v>18</v>
      </c>
      <c r="K109" t="s">
        <v>26</v>
      </c>
      <c r="L109" t="s">
        <v>50</v>
      </c>
      <c r="M109" t="s">
        <v>32</v>
      </c>
      <c r="N109" t="s">
        <v>479</v>
      </c>
      <c r="O109">
        <v>5000</v>
      </c>
    </row>
    <row r="110" spans="1:15" x14ac:dyDescent="0.25">
      <c r="A110" s="9" t="s">
        <v>589</v>
      </c>
      <c r="B110" t="s">
        <v>159</v>
      </c>
      <c r="C110" t="s">
        <v>34</v>
      </c>
      <c r="D110" t="s">
        <v>14</v>
      </c>
      <c r="E110" t="s">
        <v>54</v>
      </c>
      <c r="F110" t="s">
        <v>25</v>
      </c>
      <c r="G110" s="8">
        <v>45451</v>
      </c>
      <c r="H110" s="8">
        <v>45271</v>
      </c>
      <c r="I110" t="s">
        <v>17</v>
      </c>
      <c r="J110" t="s">
        <v>18</v>
      </c>
      <c r="K110" t="s">
        <v>19</v>
      </c>
      <c r="L110" t="s">
        <v>83</v>
      </c>
      <c r="M110" t="s">
        <v>37</v>
      </c>
      <c r="N110" t="s">
        <v>479</v>
      </c>
      <c r="O110">
        <v>5000</v>
      </c>
    </row>
    <row r="111" spans="1:15" x14ac:dyDescent="0.25">
      <c r="A111" s="9" t="s">
        <v>590</v>
      </c>
      <c r="B111" t="s">
        <v>160</v>
      </c>
      <c r="C111" t="s">
        <v>28</v>
      </c>
      <c r="D111" t="s">
        <v>14</v>
      </c>
      <c r="E111" t="s">
        <v>54</v>
      </c>
      <c r="F111" t="s">
        <v>25</v>
      </c>
      <c r="G111" s="8">
        <v>45451</v>
      </c>
      <c r="H111" s="8">
        <v>45271</v>
      </c>
      <c r="I111" t="s">
        <v>17</v>
      </c>
      <c r="J111" t="s">
        <v>18</v>
      </c>
      <c r="K111" t="s">
        <v>52</v>
      </c>
      <c r="L111" t="s">
        <v>80</v>
      </c>
      <c r="M111" t="s">
        <v>21</v>
      </c>
      <c r="N111" t="s">
        <v>479</v>
      </c>
      <c r="O111">
        <v>5000</v>
      </c>
    </row>
    <row r="112" spans="1:15" x14ac:dyDescent="0.25">
      <c r="A112" s="9" t="s">
        <v>591</v>
      </c>
      <c r="B112" t="s">
        <v>12</v>
      </c>
      <c r="C112" t="s">
        <v>28</v>
      </c>
      <c r="D112" t="s">
        <v>14</v>
      </c>
      <c r="E112" t="s">
        <v>54</v>
      </c>
      <c r="F112" t="s">
        <v>25</v>
      </c>
      <c r="G112" s="8">
        <v>45451</v>
      </c>
      <c r="H112" s="8">
        <v>45271</v>
      </c>
      <c r="I112" t="s">
        <v>58</v>
      </c>
      <c r="J112" t="s">
        <v>18</v>
      </c>
      <c r="K112" t="s">
        <v>19</v>
      </c>
      <c r="L112" t="s">
        <v>20</v>
      </c>
      <c r="M112" t="s">
        <v>21</v>
      </c>
      <c r="N112" t="s">
        <v>479</v>
      </c>
      <c r="O112">
        <v>5000</v>
      </c>
    </row>
    <row r="113" spans="1:15" x14ac:dyDescent="0.25">
      <c r="A113" s="9" t="s">
        <v>592</v>
      </c>
      <c r="B113" t="s">
        <v>22</v>
      </c>
      <c r="C113" t="s">
        <v>129</v>
      </c>
      <c r="D113" t="s">
        <v>14</v>
      </c>
      <c r="E113" t="s">
        <v>54</v>
      </c>
      <c r="F113" t="s">
        <v>25</v>
      </c>
      <c r="G113" s="8">
        <v>45451</v>
      </c>
      <c r="H113" s="8">
        <v>45271</v>
      </c>
      <c r="I113" t="s">
        <v>17</v>
      </c>
      <c r="J113" t="s">
        <v>18</v>
      </c>
      <c r="K113" t="s">
        <v>30</v>
      </c>
      <c r="L113" t="s">
        <v>161</v>
      </c>
      <c r="M113" t="s">
        <v>40</v>
      </c>
      <c r="N113" t="s">
        <v>479</v>
      </c>
      <c r="O113">
        <v>5000</v>
      </c>
    </row>
    <row r="114" spans="1:15" x14ac:dyDescent="0.25">
      <c r="A114" s="9" t="s">
        <v>593</v>
      </c>
      <c r="B114" t="s">
        <v>27</v>
      </c>
      <c r="C114" t="s">
        <v>28</v>
      </c>
      <c r="D114" t="s">
        <v>14</v>
      </c>
      <c r="E114" t="s">
        <v>54</v>
      </c>
      <c r="F114" t="s">
        <v>25</v>
      </c>
      <c r="G114" s="8">
        <v>45451</v>
      </c>
      <c r="H114" s="8">
        <v>45271</v>
      </c>
      <c r="I114" t="s">
        <v>17</v>
      </c>
      <c r="J114" t="s">
        <v>18</v>
      </c>
      <c r="K114" t="s">
        <v>30</v>
      </c>
      <c r="L114" t="s">
        <v>20</v>
      </c>
      <c r="M114" t="s">
        <v>21</v>
      </c>
      <c r="N114" t="s">
        <v>479</v>
      </c>
      <c r="O114">
        <v>5000</v>
      </c>
    </row>
    <row r="115" spans="1:15" x14ac:dyDescent="0.25">
      <c r="A115" s="9" t="s">
        <v>594</v>
      </c>
      <c r="B115" t="s">
        <v>33</v>
      </c>
      <c r="C115" t="s">
        <v>13</v>
      </c>
      <c r="D115" t="s">
        <v>14</v>
      </c>
      <c r="E115" t="s">
        <v>54</v>
      </c>
      <c r="F115" t="s">
        <v>25</v>
      </c>
      <c r="G115" s="8">
        <v>45451</v>
      </c>
      <c r="H115" s="8">
        <v>45271</v>
      </c>
      <c r="I115" t="s">
        <v>17</v>
      </c>
      <c r="J115" t="s">
        <v>18</v>
      </c>
      <c r="K115" t="s">
        <v>30</v>
      </c>
      <c r="L115" t="s">
        <v>162</v>
      </c>
      <c r="M115" t="s">
        <v>163</v>
      </c>
      <c r="N115" t="s">
        <v>479</v>
      </c>
      <c r="O115">
        <v>5000</v>
      </c>
    </row>
    <row r="116" spans="1:15" x14ac:dyDescent="0.25">
      <c r="A116" s="9" t="s">
        <v>595</v>
      </c>
      <c r="B116" t="s">
        <v>38</v>
      </c>
      <c r="C116" t="s">
        <v>28</v>
      </c>
      <c r="D116" t="s">
        <v>114</v>
      </c>
      <c r="E116" t="s">
        <v>54</v>
      </c>
      <c r="F116" t="s">
        <v>25</v>
      </c>
      <c r="G116" s="8">
        <v>45451</v>
      </c>
      <c r="H116" s="8">
        <v>45271</v>
      </c>
      <c r="I116" t="s">
        <v>17</v>
      </c>
      <c r="J116" t="s">
        <v>18</v>
      </c>
      <c r="K116" t="s">
        <v>26</v>
      </c>
      <c r="L116" t="s">
        <v>50</v>
      </c>
      <c r="M116" t="s">
        <v>32</v>
      </c>
      <c r="N116" t="s">
        <v>479</v>
      </c>
      <c r="O116">
        <v>5000</v>
      </c>
    </row>
    <row r="117" spans="1:15" x14ac:dyDescent="0.25">
      <c r="A117" s="9" t="s">
        <v>596</v>
      </c>
      <c r="B117" t="s">
        <v>41</v>
      </c>
      <c r="C117" t="s">
        <v>28</v>
      </c>
      <c r="D117" t="s">
        <v>107</v>
      </c>
      <c r="E117" t="s">
        <v>54</v>
      </c>
      <c r="F117" t="s">
        <v>25</v>
      </c>
      <c r="G117" s="8">
        <v>45452</v>
      </c>
      <c r="H117" s="8">
        <v>45272</v>
      </c>
      <c r="I117" t="s">
        <v>17</v>
      </c>
      <c r="J117" t="s">
        <v>18</v>
      </c>
      <c r="K117" t="s">
        <v>30</v>
      </c>
      <c r="L117" t="s">
        <v>20</v>
      </c>
      <c r="M117" t="s">
        <v>21</v>
      </c>
      <c r="N117" t="s">
        <v>479</v>
      </c>
      <c r="O117">
        <v>5000</v>
      </c>
    </row>
    <row r="118" spans="1:15" x14ac:dyDescent="0.25">
      <c r="A118" s="9" t="s">
        <v>597</v>
      </c>
      <c r="B118" t="s">
        <v>42</v>
      </c>
      <c r="C118" t="s">
        <v>28</v>
      </c>
      <c r="D118" t="s">
        <v>107</v>
      </c>
      <c r="E118" t="s">
        <v>54</v>
      </c>
      <c r="F118" t="s">
        <v>25</v>
      </c>
      <c r="G118" s="8">
        <v>45452</v>
      </c>
      <c r="H118" s="8">
        <v>45272</v>
      </c>
      <c r="I118" t="s">
        <v>17</v>
      </c>
      <c r="J118" t="s">
        <v>18</v>
      </c>
      <c r="K118" t="s">
        <v>19</v>
      </c>
      <c r="L118" t="s">
        <v>20</v>
      </c>
      <c r="M118" t="s">
        <v>21</v>
      </c>
      <c r="N118" t="s">
        <v>479</v>
      </c>
      <c r="O118">
        <v>5000</v>
      </c>
    </row>
    <row r="119" spans="1:15" x14ac:dyDescent="0.25">
      <c r="A119" s="9" t="s">
        <v>598</v>
      </c>
      <c r="B119" t="s">
        <v>893</v>
      </c>
      <c r="C119" t="s">
        <v>34</v>
      </c>
      <c r="D119" t="s">
        <v>107</v>
      </c>
      <c r="E119" t="s">
        <v>54</v>
      </c>
      <c r="F119" t="s">
        <v>25</v>
      </c>
      <c r="G119" s="8">
        <v>45452</v>
      </c>
      <c r="H119" s="8">
        <v>45272</v>
      </c>
      <c r="I119" t="s">
        <v>17</v>
      </c>
      <c r="J119" t="s">
        <v>18</v>
      </c>
      <c r="K119" t="s">
        <v>19</v>
      </c>
      <c r="L119" t="s">
        <v>66</v>
      </c>
      <c r="M119" t="s">
        <v>37</v>
      </c>
      <c r="N119" t="s">
        <v>479</v>
      </c>
      <c r="O119">
        <v>5000</v>
      </c>
    </row>
    <row r="120" spans="1:15" x14ac:dyDescent="0.25">
      <c r="A120" s="9" t="s">
        <v>599</v>
      </c>
      <c r="B120" t="s">
        <v>45</v>
      </c>
      <c r="C120" t="s">
        <v>13</v>
      </c>
      <c r="D120" t="s">
        <v>107</v>
      </c>
      <c r="E120" t="s">
        <v>54</v>
      </c>
      <c r="F120" t="s">
        <v>25</v>
      </c>
      <c r="G120" s="8">
        <v>45452</v>
      </c>
      <c r="H120" s="8">
        <v>45272</v>
      </c>
      <c r="I120" t="s">
        <v>17</v>
      </c>
      <c r="J120" t="s">
        <v>18</v>
      </c>
      <c r="K120" t="s">
        <v>26</v>
      </c>
      <c r="L120" t="s">
        <v>600</v>
      </c>
      <c r="M120" t="s">
        <v>37</v>
      </c>
      <c r="N120" t="s">
        <v>479</v>
      </c>
      <c r="O120">
        <v>5000</v>
      </c>
    </row>
    <row r="121" spans="1:15" x14ac:dyDescent="0.25">
      <c r="A121" s="9" t="s">
        <v>601</v>
      </c>
      <c r="B121" t="s">
        <v>46</v>
      </c>
      <c r="C121" t="s">
        <v>13</v>
      </c>
      <c r="D121" t="s">
        <v>107</v>
      </c>
      <c r="E121" t="s">
        <v>54</v>
      </c>
      <c r="F121" t="s">
        <v>25</v>
      </c>
      <c r="G121" s="8">
        <v>45452</v>
      </c>
      <c r="H121" s="8">
        <v>45272</v>
      </c>
      <c r="I121" t="s">
        <v>17</v>
      </c>
      <c r="J121" t="s">
        <v>18</v>
      </c>
      <c r="K121" t="s">
        <v>77</v>
      </c>
      <c r="L121" t="s">
        <v>137</v>
      </c>
      <c r="M121" t="s">
        <v>21</v>
      </c>
      <c r="N121" t="s">
        <v>479</v>
      </c>
      <c r="O121">
        <v>5000</v>
      </c>
    </row>
    <row r="122" spans="1:15" x14ac:dyDescent="0.25">
      <c r="A122" s="9" t="s">
        <v>602</v>
      </c>
      <c r="B122" t="s">
        <v>47</v>
      </c>
      <c r="C122" t="s">
        <v>129</v>
      </c>
      <c r="D122" t="s">
        <v>122</v>
      </c>
      <c r="E122" t="s">
        <v>54</v>
      </c>
      <c r="F122" t="s">
        <v>25</v>
      </c>
      <c r="G122" s="8">
        <v>45452</v>
      </c>
      <c r="H122" s="8">
        <v>45272</v>
      </c>
      <c r="I122" t="s">
        <v>17</v>
      </c>
      <c r="J122" t="s">
        <v>29</v>
      </c>
      <c r="K122" t="s">
        <v>19</v>
      </c>
      <c r="L122" t="s">
        <v>164</v>
      </c>
      <c r="M122" t="s">
        <v>32</v>
      </c>
      <c r="N122" t="s">
        <v>479</v>
      </c>
      <c r="O122">
        <v>5000</v>
      </c>
    </row>
    <row r="123" spans="1:15" x14ac:dyDescent="0.25">
      <c r="A123" s="9" t="s">
        <v>603</v>
      </c>
      <c r="B123" t="s">
        <v>48</v>
      </c>
      <c r="C123" t="s">
        <v>129</v>
      </c>
      <c r="D123" t="s">
        <v>111</v>
      </c>
      <c r="E123" t="s">
        <v>54</v>
      </c>
      <c r="F123" t="s">
        <v>25</v>
      </c>
      <c r="G123" s="8">
        <v>45452</v>
      </c>
      <c r="H123" s="8">
        <v>45272</v>
      </c>
      <c r="I123" t="s">
        <v>17</v>
      </c>
      <c r="J123" t="s">
        <v>18</v>
      </c>
      <c r="K123" t="s">
        <v>19</v>
      </c>
      <c r="L123" t="s">
        <v>109</v>
      </c>
      <c r="M123" t="s">
        <v>40</v>
      </c>
      <c r="N123" t="s">
        <v>479</v>
      </c>
      <c r="O123">
        <v>5000</v>
      </c>
    </row>
    <row r="124" spans="1:15" x14ac:dyDescent="0.25">
      <c r="A124" s="9" t="s">
        <v>604</v>
      </c>
      <c r="B124" t="s">
        <v>49</v>
      </c>
      <c r="C124" t="s">
        <v>13</v>
      </c>
      <c r="D124" t="s">
        <v>125</v>
      </c>
      <c r="E124" t="s">
        <v>54</v>
      </c>
      <c r="F124" t="s">
        <v>25</v>
      </c>
      <c r="G124" s="8">
        <v>45452</v>
      </c>
      <c r="H124" s="8">
        <v>45272</v>
      </c>
      <c r="I124" t="s">
        <v>17</v>
      </c>
      <c r="J124" t="s">
        <v>18</v>
      </c>
      <c r="K124" t="s">
        <v>19</v>
      </c>
      <c r="L124" t="s">
        <v>31</v>
      </c>
      <c r="M124" t="s">
        <v>32</v>
      </c>
      <c r="N124" t="s">
        <v>479</v>
      </c>
      <c r="O124">
        <v>5000</v>
      </c>
    </row>
    <row r="125" spans="1:15" x14ac:dyDescent="0.25">
      <c r="A125" s="9" t="s">
        <v>605</v>
      </c>
      <c r="B125" t="s">
        <v>51</v>
      </c>
      <c r="C125" t="s">
        <v>13</v>
      </c>
      <c r="D125" t="s">
        <v>127</v>
      </c>
      <c r="E125" t="s">
        <v>54</v>
      </c>
      <c r="F125" t="s">
        <v>25</v>
      </c>
      <c r="G125" s="8">
        <v>45452</v>
      </c>
      <c r="H125" s="8">
        <v>45272</v>
      </c>
      <c r="I125" t="s">
        <v>17</v>
      </c>
      <c r="J125" t="s">
        <v>18</v>
      </c>
      <c r="K125" t="s">
        <v>26</v>
      </c>
      <c r="L125" t="s">
        <v>20</v>
      </c>
      <c r="M125" t="s">
        <v>21</v>
      </c>
      <c r="N125" t="s">
        <v>479</v>
      </c>
      <c r="O125">
        <v>5000</v>
      </c>
    </row>
    <row r="126" spans="1:15" x14ac:dyDescent="0.25">
      <c r="A126" s="9" t="s">
        <v>606</v>
      </c>
      <c r="B126" t="s">
        <v>53</v>
      </c>
      <c r="C126" t="s">
        <v>13</v>
      </c>
      <c r="D126" t="s">
        <v>14</v>
      </c>
      <c r="E126" t="s">
        <v>54</v>
      </c>
      <c r="F126" t="s">
        <v>25</v>
      </c>
      <c r="G126" s="8">
        <v>45452</v>
      </c>
      <c r="H126" s="8">
        <v>45272</v>
      </c>
      <c r="I126" t="s">
        <v>17</v>
      </c>
      <c r="J126" t="s">
        <v>18</v>
      </c>
      <c r="K126" t="s">
        <v>19</v>
      </c>
      <c r="L126" t="s">
        <v>20</v>
      </c>
      <c r="M126" t="s">
        <v>21</v>
      </c>
      <c r="N126" t="s">
        <v>479</v>
      </c>
      <c r="O126">
        <v>5000</v>
      </c>
    </row>
    <row r="127" spans="1:15" x14ac:dyDescent="0.25">
      <c r="A127" s="9" t="s">
        <v>607</v>
      </c>
      <c r="B127" t="s">
        <v>55</v>
      </c>
      <c r="C127" t="s">
        <v>13</v>
      </c>
      <c r="D127" t="s">
        <v>14</v>
      </c>
      <c r="E127" t="s">
        <v>54</v>
      </c>
      <c r="F127" t="s">
        <v>25</v>
      </c>
      <c r="G127" s="8">
        <v>45452</v>
      </c>
      <c r="H127" s="8">
        <v>45272</v>
      </c>
      <c r="I127" t="s">
        <v>17</v>
      </c>
      <c r="J127" t="s">
        <v>18</v>
      </c>
      <c r="K127" t="s">
        <v>30</v>
      </c>
      <c r="L127" t="s">
        <v>165</v>
      </c>
      <c r="M127" t="s">
        <v>37</v>
      </c>
      <c r="N127" t="s">
        <v>479</v>
      </c>
      <c r="O127">
        <v>52542</v>
      </c>
    </row>
    <row r="128" spans="1:15" x14ac:dyDescent="0.25">
      <c r="A128" s="9" t="s">
        <v>608</v>
      </c>
      <c r="B128" t="s">
        <v>56</v>
      </c>
      <c r="C128" t="s">
        <v>34</v>
      </c>
      <c r="D128" t="s">
        <v>14</v>
      </c>
      <c r="E128" t="s">
        <v>54</v>
      </c>
      <c r="F128" t="s">
        <v>25</v>
      </c>
      <c r="G128" s="8">
        <v>45452</v>
      </c>
      <c r="H128" s="8">
        <v>45272</v>
      </c>
      <c r="I128" t="s">
        <v>58</v>
      </c>
      <c r="J128" t="s">
        <v>29</v>
      </c>
      <c r="K128" t="s">
        <v>30</v>
      </c>
      <c r="L128" t="s">
        <v>137</v>
      </c>
      <c r="M128" t="s">
        <v>21</v>
      </c>
      <c r="N128" t="s">
        <v>479</v>
      </c>
      <c r="O128">
        <v>5000</v>
      </c>
    </row>
    <row r="129" spans="1:15" x14ac:dyDescent="0.25">
      <c r="A129" s="9" t="s">
        <v>609</v>
      </c>
      <c r="B129" t="s">
        <v>59</v>
      </c>
      <c r="C129" t="s">
        <v>28</v>
      </c>
      <c r="D129" t="s">
        <v>14</v>
      </c>
      <c r="E129" t="s">
        <v>54</v>
      </c>
      <c r="F129" t="s">
        <v>25</v>
      </c>
      <c r="G129" s="8">
        <v>45452</v>
      </c>
      <c r="H129" s="8">
        <v>45272</v>
      </c>
      <c r="I129" t="s">
        <v>17</v>
      </c>
      <c r="J129" t="s">
        <v>18</v>
      </c>
      <c r="K129" t="s">
        <v>26</v>
      </c>
      <c r="L129" t="s">
        <v>137</v>
      </c>
      <c r="M129" t="s">
        <v>21</v>
      </c>
      <c r="N129" t="s">
        <v>479</v>
      </c>
      <c r="O129">
        <v>5000</v>
      </c>
    </row>
    <row r="130" spans="1:15" x14ac:dyDescent="0.25">
      <c r="A130" s="9" t="s">
        <v>610</v>
      </c>
      <c r="B130" t="s">
        <v>60</v>
      </c>
      <c r="C130" t="s">
        <v>28</v>
      </c>
      <c r="D130" t="s">
        <v>14</v>
      </c>
      <c r="E130" t="s">
        <v>54</v>
      </c>
      <c r="F130" t="s">
        <v>25</v>
      </c>
      <c r="G130" s="8">
        <v>45452</v>
      </c>
      <c r="H130" s="8">
        <v>45272</v>
      </c>
      <c r="I130" t="s">
        <v>17</v>
      </c>
      <c r="J130" t="s">
        <v>18</v>
      </c>
      <c r="K130" t="s">
        <v>19</v>
      </c>
      <c r="L130" t="s">
        <v>137</v>
      </c>
      <c r="M130" t="s">
        <v>21</v>
      </c>
      <c r="N130" t="s">
        <v>479</v>
      </c>
      <c r="O130">
        <v>5000</v>
      </c>
    </row>
    <row r="131" spans="1:15" x14ac:dyDescent="0.25">
      <c r="A131" s="9" t="s">
        <v>611</v>
      </c>
      <c r="B131" t="s">
        <v>61</v>
      </c>
      <c r="C131" t="s">
        <v>28</v>
      </c>
      <c r="D131" t="s">
        <v>14</v>
      </c>
      <c r="E131" t="s">
        <v>54</v>
      </c>
      <c r="F131" t="s">
        <v>25</v>
      </c>
      <c r="G131" s="8">
        <v>45452</v>
      </c>
      <c r="H131" s="8">
        <v>45272</v>
      </c>
      <c r="I131" t="s">
        <v>17</v>
      </c>
      <c r="J131" t="s">
        <v>18</v>
      </c>
      <c r="K131" t="s">
        <v>26</v>
      </c>
      <c r="L131" t="s">
        <v>137</v>
      </c>
      <c r="M131" t="s">
        <v>21</v>
      </c>
      <c r="N131" t="s">
        <v>479</v>
      </c>
      <c r="O131">
        <v>5000</v>
      </c>
    </row>
    <row r="132" spans="1:15" x14ac:dyDescent="0.25">
      <c r="A132" s="9" t="s">
        <v>612</v>
      </c>
      <c r="B132" t="s">
        <v>62</v>
      </c>
      <c r="C132" t="s">
        <v>34</v>
      </c>
      <c r="D132" t="s">
        <v>14</v>
      </c>
      <c r="E132" t="s">
        <v>54</v>
      </c>
      <c r="F132" t="s">
        <v>25</v>
      </c>
      <c r="G132" s="8">
        <v>45452</v>
      </c>
      <c r="H132" s="8">
        <v>45272</v>
      </c>
      <c r="I132" t="s">
        <v>17</v>
      </c>
      <c r="J132" t="s">
        <v>29</v>
      </c>
      <c r="K132" t="s">
        <v>19</v>
      </c>
      <c r="L132" t="s">
        <v>137</v>
      </c>
      <c r="M132" t="s">
        <v>21</v>
      </c>
      <c r="N132" t="s">
        <v>479</v>
      </c>
      <c r="O132">
        <v>5000</v>
      </c>
    </row>
    <row r="133" spans="1:15" x14ac:dyDescent="0.25">
      <c r="A133" s="9" t="s">
        <v>613</v>
      </c>
      <c r="B133" t="s">
        <v>63</v>
      </c>
      <c r="C133" t="s">
        <v>28</v>
      </c>
      <c r="D133" t="s">
        <v>14</v>
      </c>
      <c r="E133" t="s">
        <v>54</v>
      </c>
      <c r="F133" t="s">
        <v>25</v>
      </c>
      <c r="G133" s="8">
        <v>45452</v>
      </c>
      <c r="H133" s="8">
        <v>45272</v>
      </c>
      <c r="I133" t="s">
        <v>17</v>
      </c>
      <c r="J133" t="s">
        <v>18</v>
      </c>
      <c r="K133" t="s">
        <v>77</v>
      </c>
      <c r="L133" t="s">
        <v>137</v>
      </c>
      <c r="M133" t="s">
        <v>21</v>
      </c>
      <c r="N133" t="s">
        <v>479</v>
      </c>
      <c r="O133">
        <v>5000</v>
      </c>
    </row>
    <row r="134" spans="1:15" x14ac:dyDescent="0.25">
      <c r="A134" s="9" t="s">
        <v>614</v>
      </c>
      <c r="B134" t="s">
        <v>166</v>
      </c>
      <c r="C134" t="s">
        <v>13</v>
      </c>
      <c r="D134" t="s">
        <v>14</v>
      </c>
      <c r="E134" t="s">
        <v>54</v>
      </c>
      <c r="F134" t="s">
        <v>25</v>
      </c>
      <c r="G134" s="8">
        <v>45452</v>
      </c>
      <c r="H134" s="8">
        <v>45272</v>
      </c>
      <c r="I134" t="s">
        <v>17</v>
      </c>
      <c r="J134" t="s">
        <v>29</v>
      </c>
      <c r="K134" t="s">
        <v>19</v>
      </c>
      <c r="L134" t="s">
        <v>167</v>
      </c>
      <c r="M134" t="s">
        <v>32</v>
      </c>
      <c r="N134" t="s">
        <v>479</v>
      </c>
      <c r="O134">
        <v>5000</v>
      </c>
    </row>
    <row r="135" spans="1:15" x14ac:dyDescent="0.25">
      <c r="A135" s="9" t="s">
        <v>615</v>
      </c>
      <c r="B135" t="s">
        <v>168</v>
      </c>
      <c r="C135" t="s">
        <v>28</v>
      </c>
      <c r="D135" t="s">
        <v>14</v>
      </c>
      <c r="E135" t="s">
        <v>54</v>
      </c>
      <c r="F135" t="s">
        <v>25</v>
      </c>
      <c r="G135" s="8">
        <v>45452</v>
      </c>
      <c r="H135" s="8">
        <v>45272</v>
      </c>
      <c r="I135" t="s">
        <v>17</v>
      </c>
      <c r="J135" t="s">
        <v>18</v>
      </c>
      <c r="K135" t="s">
        <v>19</v>
      </c>
      <c r="L135" t="s">
        <v>137</v>
      </c>
      <c r="M135" t="s">
        <v>21</v>
      </c>
      <c r="N135" t="s">
        <v>479</v>
      </c>
      <c r="O135">
        <v>5000</v>
      </c>
    </row>
    <row r="136" spans="1:15" x14ac:dyDescent="0.25">
      <c r="A136" s="9" t="s">
        <v>616</v>
      </c>
      <c r="B136" t="s">
        <v>169</v>
      </c>
      <c r="C136" t="s">
        <v>28</v>
      </c>
      <c r="D136" t="s">
        <v>14</v>
      </c>
      <c r="E136" t="s">
        <v>54</v>
      </c>
      <c r="F136" t="s">
        <v>25</v>
      </c>
      <c r="G136" s="8">
        <v>45452</v>
      </c>
      <c r="H136" s="8">
        <v>45272</v>
      </c>
      <c r="I136" t="s">
        <v>17</v>
      </c>
      <c r="J136" t="s">
        <v>18</v>
      </c>
      <c r="K136" t="s">
        <v>19</v>
      </c>
      <c r="L136" t="s">
        <v>20</v>
      </c>
      <c r="M136" t="s">
        <v>21</v>
      </c>
      <c r="N136" t="s">
        <v>479</v>
      </c>
      <c r="O136">
        <v>5000</v>
      </c>
    </row>
    <row r="137" spans="1:15" x14ac:dyDescent="0.25">
      <c r="A137" s="9" t="s">
        <v>617</v>
      </c>
      <c r="B137" t="s">
        <v>170</v>
      </c>
      <c r="C137" t="s">
        <v>28</v>
      </c>
      <c r="D137" t="s">
        <v>14</v>
      </c>
      <c r="E137" t="s">
        <v>54</v>
      </c>
      <c r="F137" t="s">
        <v>25</v>
      </c>
      <c r="G137" s="8">
        <v>45452</v>
      </c>
      <c r="H137" s="8">
        <v>45272</v>
      </c>
      <c r="I137" t="s">
        <v>17</v>
      </c>
      <c r="J137" t="s">
        <v>18</v>
      </c>
      <c r="K137" t="s">
        <v>44</v>
      </c>
      <c r="L137" t="s">
        <v>137</v>
      </c>
      <c r="M137" t="s">
        <v>21</v>
      </c>
      <c r="N137" t="s">
        <v>479</v>
      </c>
      <c r="O137">
        <v>5000</v>
      </c>
    </row>
    <row r="138" spans="1:15" x14ac:dyDescent="0.25">
      <c r="A138" s="9" t="s">
        <v>618</v>
      </c>
      <c r="B138" t="s">
        <v>171</v>
      </c>
      <c r="C138" t="s">
        <v>28</v>
      </c>
      <c r="D138" t="s">
        <v>14</v>
      </c>
      <c r="E138" t="s">
        <v>54</v>
      </c>
      <c r="F138" t="s">
        <v>25</v>
      </c>
      <c r="G138" s="8">
        <v>45452</v>
      </c>
      <c r="H138" s="8">
        <v>45272</v>
      </c>
      <c r="I138" t="s">
        <v>17</v>
      </c>
      <c r="J138" t="s">
        <v>29</v>
      </c>
      <c r="K138" t="s">
        <v>30</v>
      </c>
      <c r="L138" t="s">
        <v>137</v>
      </c>
      <c r="M138" t="s">
        <v>21</v>
      </c>
      <c r="N138" t="s">
        <v>479</v>
      </c>
      <c r="O138">
        <v>5000</v>
      </c>
    </row>
    <row r="139" spans="1:15" x14ac:dyDescent="0.25">
      <c r="A139" s="9" t="s">
        <v>619</v>
      </c>
      <c r="B139" t="s">
        <v>172</v>
      </c>
      <c r="C139" t="s">
        <v>13</v>
      </c>
      <c r="D139" t="s">
        <v>14</v>
      </c>
      <c r="E139" t="s">
        <v>54</v>
      </c>
      <c r="F139" t="s">
        <v>25</v>
      </c>
      <c r="G139" s="8">
        <v>45452</v>
      </c>
      <c r="H139" s="8">
        <v>45272</v>
      </c>
      <c r="I139" t="s">
        <v>58</v>
      </c>
      <c r="J139" t="s">
        <v>29</v>
      </c>
      <c r="K139" t="s">
        <v>44</v>
      </c>
      <c r="L139" t="s">
        <v>20</v>
      </c>
      <c r="M139" t="s">
        <v>21</v>
      </c>
      <c r="N139" t="s">
        <v>479</v>
      </c>
      <c r="O139">
        <v>5000</v>
      </c>
    </row>
    <row r="140" spans="1:15" x14ac:dyDescent="0.25">
      <c r="A140" s="9" t="s">
        <v>620</v>
      </c>
      <c r="B140" t="s">
        <v>173</v>
      </c>
      <c r="C140" t="s">
        <v>34</v>
      </c>
      <c r="D140" t="s">
        <v>14</v>
      </c>
      <c r="E140" t="s">
        <v>54</v>
      </c>
      <c r="F140" t="s">
        <v>25</v>
      </c>
      <c r="G140" s="8">
        <v>45452</v>
      </c>
      <c r="H140" s="8">
        <v>45272</v>
      </c>
      <c r="I140" t="s">
        <v>58</v>
      </c>
      <c r="J140" t="s">
        <v>18</v>
      </c>
      <c r="K140" t="s">
        <v>44</v>
      </c>
      <c r="L140" t="s">
        <v>20</v>
      </c>
      <c r="M140" t="s">
        <v>21</v>
      </c>
      <c r="N140" t="s">
        <v>479</v>
      </c>
      <c r="O140">
        <v>5000</v>
      </c>
    </row>
    <row r="141" spans="1:15" x14ac:dyDescent="0.25">
      <c r="A141" s="9" t="s">
        <v>621</v>
      </c>
      <c r="B141" t="s">
        <v>174</v>
      </c>
      <c r="C141" t="s">
        <v>13</v>
      </c>
      <c r="D141" t="s">
        <v>14</v>
      </c>
      <c r="E141" t="s">
        <v>54</v>
      </c>
      <c r="F141" t="s">
        <v>25</v>
      </c>
      <c r="G141" s="8">
        <v>45452</v>
      </c>
      <c r="H141" s="8">
        <v>45272</v>
      </c>
      <c r="I141" t="s">
        <v>58</v>
      </c>
      <c r="J141" t="s">
        <v>29</v>
      </c>
      <c r="K141" t="s">
        <v>26</v>
      </c>
      <c r="L141" t="s">
        <v>83</v>
      </c>
      <c r="M141" t="s">
        <v>37</v>
      </c>
      <c r="N141" t="s">
        <v>479</v>
      </c>
      <c r="O141">
        <v>5000</v>
      </c>
    </row>
    <row r="142" spans="1:15" x14ac:dyDescent="0.25">
      <c r="A142" s="9" t="s">
        <v>622</v>
      </c>
      <c r="B142" t="s">
        <v>175</v>
      </c>
      <c r="C142" t="s">
        <v>34</v>
      </c>
      <c r="D142" t="s">
        <v>14</v>
      </c>
      <c r="E142" t="s">
        <v>54</v>
      </c>
      <c r="F142" t="s">
        <v>25</v>
      </c>
      <c r="G142" s="8">
        <v>45452</v>
      </c>
      <c r="H142" s="8">
        <v>45272</v>
      </c>
      <c r="I142" t="s">
        <v>58</v>
      </c>
      <c r="J142" t="s">
        <v>18</v>
      </c>
      <c r="K142" t="s">
        <v>26</v>
      </c>
      <c r="L142" t="s">
        <v>78</v>
      </c>
      <c r="M142" t="s">
        <v>37</v>
      </c>
      <c r="N142" t="s">
        <v>479</v>
      </c>
      <c r="O142">
        <v>5000</v>
      </c>
    </row>
    <row r="143" spans="1:15" x14ac:dyDescent="0.25">
      <c r="A143" s="9" t="s">
        <v>623</v>
      </c>
      <c r="B143" t="s">
        <v>176</v>
      </c>
      <c r="C143" t="s">
        <v>34</v>
      </c>
      <c r="D143" t="s">
        <v>14</v>
      </c>
      <c r="E143" t="s">
        <v>54</v>
      </c>
      <c r="F143" t="s">
        <v>25</v>
      </c>
      <c r="G143" s="8">
        <v>45452</v>
      </c>
      <c r="H143" s="8">
        <v>45272</v>
      </c>
      <c r="I143" t="s">
        <v>58</v>
      </c>
      <c r="J143" t="s">
        <v>18</v>
      </c>
      <c r="K143" t="s">
        <v>44</v>
      </c>
      <c r="L143" t="s">
        <v>66</v>
      </c>
      <c r="M143" t="s">
        <v>37</v>
      </c>
      <c r="N143" t="s">
        <v>479</v>
      </c>
      <c r="O143">
        <v>5000</v>
      </c>
    </row>
    <row r="144" spans="1:15" x14ac:dyDescent="0.25">
      <c r="A144" s="9" t="s">
        <v>624</v>
      </c>
      <c r="B144" t="s">
        <v>177</v>
      </c>
      <c r="C144" t="s">
        <v>34</v>
      </c>
      <c r="D144" t="s">
        <v>14</v>
      </c>
      <c r="E144" t="s">
        <v>54</v>
      </c>
      <c r="F144" t="s">
        <v>25</v>
      </c>
      <c r="G144" s="8">
        <v>45452</v>
      </c>
      <c r="H144" s="8">
        <v>45272</v>
      </c>
      <c r="I144" t="s">
        <v>58</v>
      </c>
      <c r="J144" t="s">
        <v>18</v>
      </c>
      <c r="K144" t="s">
        <v>30</v>
      </c>
      <c r="L144" t="s">
        <v>66</v>
      </c>
      <c r="M144" t="s">
        <v>37</v>
      </c>
      <c r="N144" t="s">
        <v>479</v>
      </c>
      <c r="O144">
        <v>5000</v>
      </c>
    </row>
    <row r="145" spans="1:15" x14ac:dyDescent="0.25">
      <c r="A145" s="9" t="s">
        <v>625</v>
      </c>
      <c r="B145" t="s">
        <v>178</v>
      </c>
      <c r="C145" t="s">
        <v>34</v>
      </c>
      <c r="D145" t="s">
        <v>14</v>
      </c>
      <c r="E145" t="s">
        <v>54</v>
      </c>
      <c r="F145" t="s">
        <v>25</v>
      </c>
      <c r="G145" s="8">
        <v>45452</v>
      </c>
      <c r="H145" s="8">
        <v>45272</v>
      </c>
      <c r="I145" t="s">
        <v>58</v>
      </c>
      <c r="J145" t="s">
        <v>18</v>
      </c>
      <c r="K145" t="s">
        <v>26</v>
      </c>
      <c r="L145" t="s">
        <v>20</v>
      </c>
      <c r="M145" t="s">
        <v>21</v>
      </c>
      <c r="N145" t="s">
        <v>479</v>
      </c>
      <c r="O145">
        <v>5000</v>
      </c>
    </row>
    <row r="146" spans="1:15" x14ac:dyDescent="0.25">
      <c r="A146" s="9" t="s">
        <v>626</v>
      </c>
      <c r="B146" t="s">
        <v>179</v>
      </c>
      <c r="C146" t="s">
        <v>13</v>
      </c>
      <c r="D146" t="s">
        <v>14</v>
      </c>
      <c r="E146" t="s">
        <v>54</v>
      </c>
      <c r="F146" t="s">
        <v>25</v>
      </c>
      <c r="G146" s="8">
        <v>45452</v>
      </c>
      <c r="H146" s="8">
        <v>45272</v>
      </c>
      <c r="I146" t="s">
        <v>17</v>
      </c>
      <c r="J146" t="s">
        <v>18</v>
      </c>
      <c r="K146" t="s">
        <v>30</v>
      </c>
      <c r="L146" t="s">
        <v>20</v>
      </c>
      <c r="M146" t="s">
        <v>21</v>
      </c>
      <c r="N146" t="s">
        <v>479</v>
      </c>
      <c r="O146">
        <v>5000</v>
      </c>
    </row>
    <row r="147" spans="1:15" x14ac:dyDescent="0.25">
      <c r="A147" s="9" t="s">
        <v>627</v>
      </c>
      <c r="B147" t="s">
        <v>180</v>
      </c>
      <c r="C147" t="s">
        <v>28</v>
      </c>
      <c r="D147" t="s">
        <v>14</v>
      </c>
      <c r="E147" t="s">
        <v>54</v>
      </c>
      <c r="F147" t="s">
        <v>25</v>
      </c>
      <c r="G147" s="8">
        <v>45452</v>
      </c>
      <c r="H147" s="8">
        <v>45272</v>
      </c>
      <c r="I147" t="s">
        <v>17</v>
      </c>
      <c r="J147" t="s">
        <v>18</v>
      </c>
      <c r="K147" t="s">
        <v>44</v>
      </c>
      <c r="L147" t="s">
        <v>20</v>
      </c>
      <c r="M147" t="s">
        <v>21</v>
      </c>
      <c r="N147" t="s">
        <v>479</v>
      </c>
      <c r="O147">
        <v>5000</v>
      </c>
    </row>
    <row r="148" spans="1:15" x14ac:dyDescent="0.25">
      <c r="A148" s="9" t="s">
        <v>628</v>
      </c>
      <c r="B148" t="s">
        <v>181</v>
      </c>
      <c r="C148" t="s">
        <v>28</v>
      </c>
      <c r="D148" t="s">
        <v>14</v>
      </c>
      <c r="E148" t="s">
        <v>54</v>
      </c>
      <c r="F148" t="s">
        <v>25</v>
      </c>
      <c r="G148" s="8">
        <v>45452</v>
      </c>
      <c r="H148" s="8">
        <v>45272</v>
      </c>
      <c r="I148" t="s">
        <v>17</v>
      </c>
      <c r="J148" t="s">
        <v>18</v>
      </c>
      <c r="K148" t="s">
        <v>19</v>
      </c>
      <c r="L148" t="s">
        <v>20</v>
      </c>
      <c r="M148" t="s">
        <v>21</v>
      </c>
      <c r="N148" t="s">
        <v>479</v>
      </c>
      <c r="O148">
        <v>5000</v>
      </c>
    </row>
    <row r="149" spans="1:15" x14ac:dyDescent="0.25">
      <c r="A149" s="9" t="s">
        <v>629</v>
      </c>
      <c r="B149" t="s">
        <v>182</v>
      </c>
      <c r="C149" t="s">
        <v>28</v>
      </c>
      <c r="D149" t="s">
        <v>14</v>
      </c>
      <c r="E149" t="s">
        <v>54</v>
      </c>
      <c r="F149" t="s">
        <v>25</v>
      </c>
      <c r="G149" s="8">
        <v>45452</v>
      </c>
      <c r="H149" s="8">
        <v>45272</v>
      </c>
      <c r="I149" t="s">
        <v>17</v>
      </c>
      <c r="J149" t="s">
        <v>18</v>
      </c>
      <c r="K149" t="s">
        <v>26</v>
      </c>
      <c r="L149" t="s">
        <v>20</v>
      </c>
      <c r="M149" t="s">
        <v>21</v>
      </c>
      <c r="N149" t="s">
        <v>479</v>
      </c>
      <c r="O149">
        <v>5000</v>
      </c>
    </row>
    <row r="150" spans="1:15" x14ac:dyDescent="0.25">
      <c r="A150" s="9" t="s">
        <v>630</v>
      </c>
      <c r="B150" t="s">
        <v>183</v>
      </c>
      <c r="C150" t="s">
        <v>34</v>
      </c>
      <c r="D150" t="s">
        <v>14</v>
      </c>
      <c r="E150" t="s">
        <v>54</v>
      </c>
      <c r="F150" t="s">
        <v>25</v>
      </c>
      <c r="G150" s="8">
        <v>45452</v>
      </c>
      <c r="H150" s="8">
        <v>45272</v>
      </c>
      <c r="I150" t="s">
        <v>17</v>
      </c>
      <c r="J150" t="s">
        <v>18</v>
      </c>
      <c r="K150" t="s">
        <v>30</v>
      </c>
      <c r="L150" t="s">
        <v>20</v>
      </c>
      <c r="M150" t="s">
        <v>21</v>
      </c>
      <c r="N150" t="s">
        <v>479</v>
      </c>
      <c r="O150">
        <v>5000</v>
      </c>
    </row>
    <row r="151" spans="1:15" x14ac:dyDescent="0.25">
      <c r="A151" s="9" t="s">
        <v>631</v>
      </c>
      <c r="B151" t="s">
        <v>184</v>
      </c>
      <c r="C151" t="s">
        <v>13</v>
      </c>
      <c r="D151" t="s">
        <v>14</v>
      </c>
      <c r="E151" t="s">
        <v>54</v>
      </c>
      <c r="F151" t="s">
        <v>25</v>
      </c>
      <c r="G151" s="8">
        <v>45452</v>
      </c>
      <c r="H151" s="8">
        <v>45272</v>
      </c>
      <c r="I151" t="s">
        <v>17</v>
      </c>
      <c r="J151" t="s">
        <v>18</v>
      </c>
      <c r="K151" t="s">
        <v>30</v>
      </c>
      <c r="L151" t="s">
        <v>66</v>
      </c>
      <c r="M151" t="s">
        <v>37</v>
      </c>
      <c r="N151" t="s">
        <v>479</v>
      </c>
      <c r="O151">
        <v>5000</v>
      </c>
    </row>
    <row r="152" spans="1:15" x14ac:dyDescent="0.25">
      <c r="A152" s="9" t="s">
        <v>632</v>
      </c>
      <c r="B152" t="s">
        <v>185</v>
      </c>
      <c r="C152" t="s">
        <v>129</v>
      </c>
      <c r="D152" t="s">
        <v>14</v>
      </c>
      <c r="E152" t="s">
        <v>54</v>
      </c>
      <c r="F152" t="s">
        <v>25</v>
      </c>
      <c r="G152" s="8">
        <v>45452</v>
      </c>
      <c r="H152" s="8">
        <v>45272</v>
      </c>
      <c r="I152" t="s">
        <v>17</v>
      </c>
      <c r="J152" t="s">
        <v>18</v>
      </c>
      <c r="K152" t="s">
        <v>26</v>
      </c>
      <c r="L152" t="s">
        <v>600</v>
      </c>
      <c r="M152" t="s">
        <v>37</v>
      </c>
      <c r="N152" t="s">
        <v>479</v>
      </c>
      <c r="O152">
        <v>5000</v>
      </c>
    </row>
    <row r="153" spans="1:15" x14ac:dyDescent="0.25">
      <c r="A153" s="9" t="s">
        <v>633</v>
      </c>
      <c r="B153" t="s">
        <v>186</v>
      </c>
      <c r="C153" t="s">
        <v>129</v>
      </c>
      <c r="D153" t="s">
        <v>14</v>
      </c>
      <c r="E153" t="s">
        <v>54</v>
      </c>
      <c r="F153" t="s">
        <v>25</v>
      </c>
      <c r="G153" s="8">
        <v>45452</v>
      </c>
      <c r="H153" s="8">
        <v>45272</v>
      </c>
      <c r="I153" t="s">
        <v>17</v>
      </c>
      <c r="J153" t="s">
        <v>18</v>
      </c>
      <c r="K153" t="s">
        <v>19</v>
      </c>
      <c r="L153" t="s">
        <v>20</v>
      </c>
      <c r="M153" t="s">
        <v>21</v>
      </c>
      <c r="N153" t="s">
        <v>479</v>
      </c>
      <c r="O153">
        <v>5000</v>
      </c>
    </row>
    <row r="154" spans="1:15" x14ac:dyDescent="0.25">
      <c r="A154" s="9" t="s">
        <v>634</v>
      </c>
      <c r="B154" t="s">
        <v>187</v>
      </c>
      <c r="C154" t="s">
        <v>129</v>
      </c>
      <c r="D154" t="s">
        <v>14</v>
      </c>
      <c r="E154" t="s">
        <v>54</v>
      </c>
      <c r="F154" t="s">
        <v>25</v>
      </c>
      <c r="G154" s="8">
        <v>45452</v>
      </c>
      <c r="H154" s="8">
        <v>45272</v>
      </c>
      <c r="I154" t="s">
        <v>17</v>
      </c>
      <c r="J154" t="s">
        <v>18</v>
      </c>
      <c r="K154" t="s">
        <v>30</v>
      </c>
      <c r="L154" t="s">
        <v>20</v>
      </c>
      <c r="M154" t="s">
        <v>21</v>
      </c>
      <c r="N154" t="s">
        <v>479</v>
      </c>
      <c r="O154">
        <v>5000</v>
      </c>
    </row>
    <row r="155" spans="1:15" x14ac:dyDescent="0.25">
      <c r="A155" s="9" t="s">
        <v>635</v>
      </c>
      <c r="B155" t="s">
        <v>188</v>
      </c>
      <c r="C155" t="s">
        <v>129</v>
      </c>
      <c r="D155" t="s">
        <v>127</v>
      </c>
      <c r="E155" t="s">
        <v>54</v>
      </c>
      <c r="F155" t="s">
        <v>25</v>
      </c>
      <c r="G155" s="8">
        <v>45452</v>
      </c>
      <c r="H155" s="8">
        <v>45272</v>
      </c>
      <c r="I155" t="s">
        <v>17</v>
      </c>
      <c r="J155" t="s">
        <v>18</v>
      </c>
      <c r="K155" t="s">
        <v>26</v>
      </c>
      <c r="L155" t="s">
        <v>20</v>
      </c>
      <c r="M155" t="s">
        <v>21</v>
      </c>
      <c r="N155" t="s">
        <v>479</v>
      </c>
      <c r="O155">
        <v>5000</v>
      </c>
    </row>
    <row r="156" spans="1:15" x14ac:dyDescent="0.25">
      <c r="A156" s="9" t="s">
        <v>636</v>
      </c>
      <c r="B156" t="s">
        <v>189</v>
      </c>
      <c r="C156" t="s">
        <v>34</v>
      </c>
      <c r="D156" t="s">
        <v>14</v>
      </c>
      <c r="E156" t="s">
        <v>54</v>
      </c>
      <c r="F156" t="s">
        <v>25</v>
      </c>
      <c r="G156" s="8">
        <v>45452</v>
      </c>
      <c r="H156" s="8">
        <v>45272</v>
      </c>
      <c r="I156" t="s">
        <v>58</v>
      </c>
      <c r="J156" t="s">
        <v>18</v>
      </c>
      <c r="K156" t="s">
        <v>26</v>
      </c>
      <c r="L156" t="s">
        <v>66</v>
      </c>
      <c r="M156" t="s">
        <v>37</v>
      </c>
      <c r="N156" t="s">
        <v>479</v>
      </c>
      <c r="O156">
        <v>5000</v>
      </c>
    </row>
    <row r="157" spans="1:15" x14ac:dyDescent="0.25">
      <c r="A157" s="9" t="s">
        <v>637</v>
      </c>
      <c r="B157" t="s">
        <v>190</v>
      </c>
      <c r="C157" t="s">
        <v>34</v>
      </c>
      <c r="D157" t="s">
        <v>14</v>
      </c>
      <c r="E157" t="s">
        <v>54</v>
      </c>
      <c r="F157" t="s">
        <v>25</v>
      </c>
      <c r="G157" s="8">
        <v>45452</v>
      </c>
      <c r="H157" s="8">
        <v>45272</v>
      </c>
      <c r="I157" t="s">
        <v>17</v>
      </c>
      <c r="J157" t="s">
        <v>29</v>
      </c>
      <c r="K157" t="s">
        <v>44</v>
      </c>
      <c r="L157" t="s">
        <v>66</v>
      </c>
      <c r="M157" t="s">
        <v>37</v>
      </c>
      <c r="N157" t="s">
        <v>479</v>
      </c>
      <c r="O157">
        <v>5000</v>
      </c>
    </row>
    <row r="158" spans="1:15" x14ac:dyDescent="0.25">
      <c r="A158" s="9" t="s">
        <v>638</v>
      </c>
      <c r="B158" t="s">
        <v>191</v>
      </c>
      <c r="C158" t="s">
        <v>28</v>
      </c>
      <c r="D158" t="s">
        <v>14</v>
      </c>
      <c r="E158" t="s">
        <v>54</v>
      </c>
      <c r="F158" t="s">
        <v>25</v>
      </c>
      <c r="G158" s="8">
        <v>45452</v>
      </c>
      <c r="H158" s="8">
        <v>45272</v>
      </c>
      <c r="I158" t="s">
        <v>17</v>
      </c>
      <c r="J158" t="s">
        <v>29</v>
      </c>
      <c r="K158" t="s">
        <v>19</v>
      </c>
      <c r="L158" t="s">
        <v>20</v>
      </c>
      <c r="M158" t="s">
        <v>21</v>
      </c>
      <c r="N158" t="s">
        <v>479</v>
      </c>
      <c r="O158">
        <v>5000</v>
      </c>
    </row>
    <row r="159" spans="1:15" x14ac:dyDescent="0.25">
      <c r="A159" s="9" t="s">
        <v>639</v>
      </c>
      <c r="B159" t="s">
        <v>192</v>
      </c>
      <c r="C159" t="s">
        <v>28</v>
      </c>
      <c r="D159" t="s">
        <v>14</v>
      </c>
      <c r="E159" t="s">
        <v>54</v>
      </c>
      <c r="F159" t="s">
        <v>25</v>
      </c>
      <c r="G159" s="8">
        <v>45452</v>
      </c>
      <c r="H159" s="8">
        <v>45272</v>
      </c>
      <c r="I159" t="s">
        <v>17</v>
      </c>
      <c r="J159" t="s">
        <v>18</v>
      </c>
      <c r="K159" t="s">
        <v>19</v>
      </c>
      <c r="L159" t="s">
        <v>20</v>
      </c>
      <c r="M159" t="s">
        <v>21</v>
      </c>
      <c r="N159" t="s">
        <v>479</v>
      </c>
      <c r="O159">
        <v>5000</v>
      </c>
    </row>
    <row r="160" spans="1:15" x14ac:dyDescent="0.25">
      <c r="A160" s="9" t="s">
        <v>640</v>
      </c>
      <c r="B160" t="s">
        <v>193</v>
      </c>
      <c r="C160" t="s">
        <v>28</v>
      </c>
      <c r="D160" t="s">
        <v>14</v>
      </c>
      <c r="E160" t="s">
        <v>54</v>
      </c>
      <c r="F160" t="s">
        <v>25</v>
      </c>
      <c r="G160" s="8">
        <v>45452</v>
      </c>
      <c r="H160" s="8">
        <v>45272</v>
      </c>
      <c r="I160" t="s">
        <v>17</v>
      </c>
      <c r="J160" t="s">
        <v>18</v>
      </c>
      <c r="K160" t="s">
        <v>26</v>
      </c>
      <c r="L160" t="s">
        <v>50</v>
      </c>
      <c r="M160" t="s">
        <v>32</v>
      </c>
      <c r="N160" t="s">
        <v>479</v>
      </c>
      <c r="O160">
        <v>5000</v>
      </c>
    </row>
    <row r="161" spans="1:15" x14ac:dyDescent="0.25">
      <c r="A161" s="9" t="s">
        <v>641</v>
      </c>
      <c r="B161" t="s">
        <v>194</v>
      </c>
      <c r="C161" t="s">
        <v>34</v>
      </c>
      <c r="D161" t="s">
        <v>14</v>
      </c>
      <c r="E161" t="s">
        <v>54</v>
      </c>
      <c r="F161" t="s">
        <v>25</v>
      </c>
      <c r="G161" s="8">
        <v>45453</v>
      </c>
      <c r="H161" s="8">
        <v>45273</v>
      </c>
      <c r="I161" t="s">
        <v>17</v>
      </c>
      <c r="J161" t="s">
        <v>18</v>
      </c>
      <c r="K161" t="s">
        <v>19</v>
      </c>
      <c r="L161" t="s">
        <v>50</v>
      </c>
      <c r="M161" t="s">
        <v>32</v>
      </c>
      <c r="N161" t="s">
        <v>479</v>
      </c>
      <c r="O161">
        <v>5000</v>
      </c>
    </row>
    <row r="162" spans="1:15" x14ac:dyDescent="0.25">
      <c r="A162" s="9" t="s">
        <v>642</v>
      </c>
      <c r="B162" t="s">
        <v>195</v>
      </c>
      <c r="C162" t="s">
        <v>28</v>
      </c>
      <c r="D162" t="s">
        <v>14</v>
      </c>
      <c r="E162" t="s">
        <v>54</v>
      </c>
      <c r="F162" t="s">
        <v>25</v>
      </c>
      <c r="G162" s="8">
        <v>45453</v>
      </c>
      <c r="H162" s="8">
        <v>45273</v>
      </c>
      <c r="I162" t="s">
        <v>17</v>
      </c>
      <c r="J162" t="s">
        <v>18</v>
      </c>
      <c r="K162" t="s">
        <v>19</v>
      </c>
      <c r="L162" t="s">
        <v>20</v>
      </c>
      <c r="M162" t="s">
        <v>21</v>
      </c>
      <c r="N162" t="s">
        <v>479</v>
      </c>
      <c r="O162">
        <v>5000</v>
      </c>
    </row>
    <row r="163" spans="1:15" x14ac:dyDescent="0.25">
      <c r="A163" s="9" t="s">
        <v>643</v>
      </c>
      <c r="B163" t="s">
        <v>196</v>
      </c>
      <c r="C163" t="s">
        <v>13</v>
      </c>
      <c r="D163" t="s">
        <v>14</v>
      </c>
      <c r="E163" t="s">
        <v>54</v>
      </c>
      <c r="F163" t="s">
        <v>25</v>
      </c>
      <c r="G163" s="8">
        <v>45453</v>
      </c>
      <c r="H163" s="8">
        <v>45273</v>
      </c>
      <c r="I163" t="s">
        <v>17</v>
      </c>
      <c r="J163" t="s">
        <v>18</v>
      </c>
      <c r="K163" t="s">
        <v>19</v>
      </c>
      <c r="L163" t="s">
        <v>140</v>
      </c>
      <c r="M163" t="s">
        <v>37</v>
      </c>
      <c r="N163" t="s">
        <v>479</v>
      </c>
      <c r="O163">
        <v>5000</v>
      </c>
    </row>
    <row r="164" spans="1:15" x14ac:dyDescent="0.25">
      <c r="A164" s="9" t="s">
        <v>644</v>
      </c>
      <c r="B164" t="s">
        <v>131</v>
      </c>
      <c r="C164" t="s">
        <v>13</v>
      </c>
      <c r="D164" t="s">
        <v>14</v>
      </c>
      <c r="E164" t="s">
        <v>54</v>
      </c>
      <c r="F164" t="s">
        <v>25</v>
      </c>
      <c r="G164" s="8">
        <v>45453</v>
      </c>
      <c r="H164" s="8">
        <v>45273</v>
      </c>
      <c r="I164" t="s">
        <v>17</v>
      </c>
      <c r="J164" t="s">
        <v>18</v>
      </c>
      <c r="K164" t="s">
        <v>30</v>
      </c>
      <c r="L164" t="s">
        <v>162</v>
      </c>
      <c r="M164" t="s">
        <v>163</v>
      </c>
      <c r="N164" t="s">
        <v>479</v>
      </c>
      <c r="O164">
        <v>5000</v>
      </c>
    </row>
    <row r="165" spans="1:15" x14ac:dyDescent="0.25">
      <c r="A165" s="9" t="s">
        <v>645</v>
      </c>
      <c r="B165" t="s">
        <v>197</v>
      </c>
      <c r="C165" t="s">
        <v>13</v>
      </c>
      <c r="D165" t="s">
        <v>14</v>
      </c>
      <c r="E165" t="s">
        <v>54</v>
      </c>
      <c r="F165" t="s">
        <v>25</v>
      </c>
      <c r="G165" s="8">
        <v>45453</v>
      </c>
      <c r="H165" s="8">
        <v>45273</v>
      </c>
      <c r="I165" t="s">
        <v>17</v>
      </c>
      <c r="J165" t="s">
        <v>18</v>
      </c>
      <c r="K165" t="s">
        <v>77</v>
      </c>
      <c r="L165" t="s">
        <v>20</v>
      </c>
      <c r="M165" t="s">
        <v>21</v>
      </c>
      <c r="N165" t="s">
        <v>479</v>
      </c>
      <c r="O165">
        <v>5000</v>
      </c>
    </row>
    <row r="166" spans="1:15" x14ac:dyDescent="0.25">
      <c r="A166" s="9" t="s">
        <v>646</v>
      </c>
      <c r="B166" t="s">
        <v>198</v>
      </c>
      <c r="C166" t="s">
        <v>28</v>
      </c>
      <c r="D166" t="s">
        <v>14</v>
      </c>
      <c r="E166" t="s">
        <v>54</v>
      </c>
      <c r="F166" t="s">
        <v>25</v>
      </c>
      <c r="G166" s="8">
        <v>45453</v>
      </c>
      <c r="H166" s="8">
        <v>45273</v>
      </c>
      <c r="I166" t="s">
        <v>17</v>
      </c>
      <c r="J166" t="s">
        <v>29</v>
      </c>
      <c r="K166" t="s">
        <v>96</v>
      </c>
      <c r="L166" t="s">
        <v>20</v>
      </c>
      <c r="M166" t="s">
        <v>21</v>
      </c>
      <c r="N166" t="s">
        <v>479</v>
      </c>
      <c r="O166">
        <v>5000</v>
      </c>
    </row>
    <row r="167" spans="1:15" x14ac:dyDescent="0.25">
      <c r="A167" s="9" t="s">
        <v>647</v>
      </c>
      <c r="B167" t="s">
        <v>199</v>
      </c>
      <c r="C167" t="s">
        <v>28</v>
      </c>
      <c r="D167" t="s">
        <v>14</v>
      </c>
      <c r="E167" t="s">
        <v>54</v>
      </c>
      <c r="F167" t="s">
        <v>25</v>
      </c>
      <c r="G167" s="8">
        <v>45453</v>
      </c>
      <c r="H167" s="8">
        <v>45273</v>
      </c>
      <c r="I167" t="s">
        <v>58</v>
      </c>
      <c r="J167" t="s">
        <v>29</v>
      </c>
      <c r="K167" t="s">
        <v>92</v>
      </c>
      <c r="L167" t="s">
        <v>20</v>
      </c>
      <c r="M167" t="s">
        <v>21</v>
      </c>
      <c r="N167" t="s">
        <v>479</v>
      </c>
      <c r="O167">
        <v>5000</v>
      </c>
    </row>
    <row r="168" spans="1:15" x14ac:dyDescent="0.25">
      <c r="A168" s="9" t="s">
        <v>648</v>
      </c>
      <c r="B168" t="s">
        <v>200</v>
      </c>
      <c r="C168" t="s">
        <v>13</v>
      </c>
      <c r="D168" t="s">
        <v>14</v>
      </c>
      <c r="E168" t="s">
        <v>54</v>
      </c>
      <c r="F168" t="s">
        <v>25</v>
      </c>
      <c r="G168" s="8">
        <v>45453</v>
      </c>
      <c r="H168" s="8">
        <v>45273</v>
      </c>
      <c r="I168" t="s">
        <v>58</v>
      </c>
      <c r="J168" t="s">
        <v>18</v>
      </c>
      <c r="K168" t="s">
        <v>26</v>
      </c>
      <c r="L168" t="s">
        <v>140</v>
      </c>
      <c r="M168" t="s">
        <v>37</v>
      </c>
      <c r="N168" t="s">
        <v>479</v>
      </c>
      <c r="O168">
        <v>5000</v>
      </c>
    </row>
    <row r="169" spans="1:15" x14ac:dyDescent="0.25">
      <c r="A169" s="9" t="s">
        <v>649</v>
      </c>
      <c r="B169" t="s">
        <v>201</v>
      </c>
      <c r="C169" t="s">
        <v>13</v>
      </c>
      <c r="D169" t="s">
        <v>14</v>
      </c>
      <c r="E169" t="s">
        <v>54</v>
      </c>
      <c r="F169" t="s">
        <v>25</v>
      </c>
      <c r="G169" s="8">
        <v>45453</v>
      </c>
      <c r="H169" s="8">
        <v>45273</v>
      </c>
      <c r="I169" t="s">
        <v>58</v>
      </c>
      <c r="J169" t="s">
        <v>18</v>
      </c>
      <c r="K169" t="s">
        <v>26</v>
      </c>
      <c r="L169" t="s">
        <v>66</v>
      </c>
      <c r="M169" t="s">
        <v>37</v>
      </c>
      <c r="N169" t="s">
        <v>479</v>
      </c>
      <c r="O169">
        <v>5000</v>
      </c>
    </row>
    <row r="170" spans="1:15" x14ac:dyDescent="0.25">
      <c r="A170" s="9" t="s">
        <v>650</v>
      </c>
      <c r="B170" t="s">
        <v>202</v>
      </c>
      <c r="C170" t="s">
        <v>34</v>
      </c>
      <c r="D170" t="s">
        <v>14</v>
      </c>
      <c r="E170" t="s">
        <v>54</v>
      </c>
      <c r="F170" t="s">
        <v>25</v>
      </c>
      <c r="G170" s="8">
        <v>45453</v>
      </c>
      <c r="H170" s="8">
        <v>45273</v>
      </c>
      <c r="I170" t="s">
        <v>58</v>
      </c>
      <c r="J170" t="s">
        <v>18</v>
      </c>
      <c r="K170" t="s">
        <v>30</v>
      </c>
      <c r="L170" t="s">
        <v>137</v>
      </c>
      <c r="M170" t="s">
        <v>21</v>
      </c>
      <c r="N170" t="s">
        <v>479</v>
      </c>
      <c r="O170">
        <v>5000</v>
      </c>
    </row>
    <row r="171" spans="1:15" x14ac:dyDescent="0.25">
      <c r="A171" s="9" t="s">
        <v>651</v>
      </c>
      <c r="B171" t="s">
        <v>203</v>
      </c>
      <c r="C171" t="s">
        <v>28</v>
      </c>
      <c r="D171" t="s">
        <v>14</v>
      </c>
      <c r="E171" t="s">
        <v>54</v>
      </c>
      <c r="F171" t="s">
        <v>25</v>
      </c>
      <c r="G171" s="8">
        <v>45453</v>
      </c>
      <c r="H171" s="8">
        <v>45273</v>
      </c>
      <c r="I171" t="s">
        <v>58</v>
      </c>
      <c r="J171" t="s">
        <v>18</v>
      </c>
      <c r="K171" t="s">
        <v>30</v>
      </c>
      <c r="L171" t="s">
        <v>66</v>
      </c>
      <c r="M171" t="s">
        <v>37</v>
      </c>
      <c r="N171" t="s">
        <v>479</v>
      </c>
      <c r="O171">
        <v>5000</v>
      </c>
    </row>
    <row r="172" spans="1:15" x14ac:dyDescent="0.25">
      <c r="A172" s="9" t="s">
        <v>652</v>
      </c>
      <c r="B172" t="s">
        <v>204</v>
      </c>
      <c r="C172" t="s">
        <v>28</v>
      </c>
      <c r="D172" t="s">
        <v>14</v>
      </c>
      <c r="E172" t="s">
        <v>54</v>
      </c>
      <c r="F172" t="s">
        <v>25</v>
      </c>
      <c r="G172" s="8">
        <v>45453</v>
      </c>
      <c r="H172" s="8">
        <v>45273</v>
      </c>
      <c r="I172" t="s">
        <v>58</v>
      </c>
      <c r="J172" t="s">
        <v>18</v>
      </c>
      <c r="K172" t="s">
        <v>30</v>
      </c>
      <c r="L172" t="s">
        <v>137</v>
      </c>
      <c r="M172" t="s">
        <v>21</v>
      </c>
      <c r="N172" t="s">
        <v>479</v>
      </c>
      <c r="O172">
        <v>5000</v>
      </c>
    </row>
    <row r="173" spans="1:15" x14ac:dyDescent="0.25">
      <c r="A173" s="9" t="s">
        <v>653</v>
      </c>
      <c r="B173" t="s">
        <v>205</v>
      </c>
      <c r="C173" t="s">
        <v>129</v>
      </c>
      <c r="D173" t="s">
        <v>14</v>
      </c>
      <c r="E173" t="s">
        <v>54</v>
      </c>
      <c r="F173" t="s">
        <v>25</v>
      </c>
      <c r="G173" s="8">
        <v>45453</v>
      </c>
      <c r="H173" s="8">
        <v>45273</v>
      </c>
      <c r="I173" t="s">
        <v>17</v>
      </c>
      <c r="J173" t="s">
        <v>18</v>
      </c>
      <c r="K173" t="s">
        <v>30</v>
      </c>
      <c r="L173" t="s">
        <v>20</v>
      </c>
      <c r="M173" t="s">
        <v>21</v>
      </c>
      <c r="N173" t="s">
        <v>479</v>
      </c>
      <c r="O173">
        <v>5000</v>
      </c>
    </row>
    <row r="174" spans="1:15" x14ac:dyDescent="0.25">
      <c r="A174" s="9" t="s">
        <v>654</v>
      </c>
      <c r="B174" t="s">
        <v>206</v>
      </c>
      <c r="C174" t="s">
        <v>13</v>
      </c>
      <c r="D174" t="s">
        <v>14</v>
      </c>
      <c r="E174" t="s">
        <v>54</v>
      </c>
      <c r="F174" t="s">
        <v>25</v>
      </c>
      <c r="G174" s="8">
        <v>45453</v>
      </c>
      <c r="H174" s="8">
        <v>45273</v>
      </c>
      <c r="I174" t="s">
        <v>17</v>
      </c>
      <c r="J174" t="s">
        <v>18</v>
      </c>
      <c r="K174" t="s">
        <v>26</v>
      </c>
      <c r="L174" t="s">
        <v>66</v>
      </c>
      <c r="M174" t="s">
        <v>37</v>
      </c>
      <c r="N174" t="s">
        <v>479</v>
      </c>
      <c r="O174">
        <v>5000</v>
      </c>
    </row>
    <row r="175" spans="1:15" x14ac:dyDescent="0.25">
      <c r="A175" s="9" t="s">
        <v>655</v>
      </c>
      <c r="B175" t="s">
        <v>207</v>
      </c>
      <c r="C175" t="s">
        <v>28</v>
      </c>
      <c r="D175" t="s">
        <v>14</v>
      </c>
      <c r="E175" t="s">
        <v>54</v>
      </c>
      <c r="F175" t="s">
        <v>25</v>
      </c>
      <c r="G175" s="8">
        <v>45453</v>
      </c>
      <c r="H175" s="8">
        <v>45273</v>
      </c>
      <c r="I175" t="s">
        <v>58</v>
      </c>
      <c r="J175" t="s">
        <v>29</v>
      </c>
      <c r="K175" t="s">
        <v>19</v>
      </c>
      <c r="L175" t="s">
        <v>20</v>
      </c>
      <c r="M175" t="s">
        <v>21</v>
      </c>
      <c r="N175" t="s">
        <v>479</v>
      </c>
      <c r="O175">
        <v>5000</v>
      </c>
    </row>
    <row r="176" spans="1:15" x14ac:dyDescent="0.25">
      <c r="A176" s="9" t="s">
        <v>656</v>
      </c>
      <c r="B176" t="s">
        <v>208</v>
      </c>
      <c r="C176" t="s">
        <v>28</v>
      </c>
      <c r="D176" t="s">
        <v>14</v>
      </c>
      <c r="E176" t="s">
        <v>54</v>
      </c>
      <c r="F176" t="s">
        <v>25</v>
      </c>
      <c r="G176" s="8">
        <v>45453</v>
      </c>
      <c r="H176" s="8">
        <v>45273</v>
      </c>
      <c r="I176" t="s">
        <v>58</v>
      </c>
      <c r="J176" t="s">
        <v>18</v>
      </c>
      <c r="K176" t="s">
        <v>19</v>
      </c>
      <c r="L176" t="s">
        <v>80</v>
      </c>
      <c r="M176" t="s">
        <v>21</v>
      </c>
      <c r="N176" t="s">
        <v>479</v>
      </c>
      <c r="O176">
        <v>5000</v>
      </c>
    </row>
    <row r="177" spans="1:15" x14ac:dyDescent="0.25">
      <c r="A177" s="9" t="s">
        <v>657</v>
      </c>
      <c r="B177" t="s">
        <v>209</v>
      </c>
      <c r="C177" t="s">
        <v>34</v>
      </c>
      <c r="D177" t="s">
        <v>14</v>
      </c>
      <c r="E177" t="s">
        <v>54</v>
      </c>
      <c r="F177" t="s">
        <v>25</v>
      </c>
      <c r="G177" s="8">
        <v>45454</v>
      </c>
      <c r="H177" s="8">
        <v>45274</v>
      </c>
      <c r="I177" t="s">
        <v>58</v>
      </c>
      <c r="J177" t="s">
        <v>29</v>
      </c>
      <c r="K177" t="s">
        <v>77</v>
      </c>
      <c r="L177" t="s">
        <v>120</v>
      </c>
      <c r="M177" t="s">
        <v>32</v>
      </c>
      <c r="N177" t="s">
        <v>479</v>
      </c>
      <c r="O177">
        <v>5000</v>
      </c>
    </row>
    <row r="178" spans="1:15" x14ac:dyDescent="0.25">
      <c r="A178" s="9" t="s">
        <v>658</v>
      </c>
      <c r="B178" t="s">
        <v>210</v>
      </c>
      <c r="C178" t="s">
        <v>34</v>
      </c>
      <c r="D178" t="s">
        <v>14</v>
      </c>
      <c r="E178" t="s">
        <v>54</v>
      </c>
      <c r="F178" t="s">
        <v>25</v>
      </c>
      <c r="G178" s="8">
        <v>45454</v>
      </c>
      <c r="H178" s="8">
        <v>45274</v>
      </c>
      <c r="I178" t="s">
        <v>17</v>
      </c>
      <c r="J178" t="s">
        <v>18</v>
      </c>
      <c r="K178" t="s">
        <v>19</v>
      </c>
      <c r="L178" t="s">
        <v>66</v>
      </c>
      <c r="M178" t="s">
        <v>37</v>
      </c>
      <c r="N178" t="s">
        <v>479</v>
      </c>
      <c r="O178">
        <v>5000</v>
      </c>
    </row>
    <row r="179" spans="1:15" x14ac:dyDescent="0.25">
      <c r="A179" s="9" t="s">
        <v>659</v>
      </c>
      <c r="B179" t="s">
        <v>211</v>
      </c>
      <c r="C179" t="s">
        <v>13</v>
      </c>
      <c r="D179" t="s">
        <v>14</v>
      </c>
      <c r="E179" t="s">
        <v>54</v>
      </c>
      <c r="F179" t="s">
        <v>25</v>
      </c>
      <c r="G179" s="8">
        <v>45454</v>
      </c>
      <c r="H179" s="8">
        <v>45274</v>
      </c>
      <c r="I179" t="s">
        <v>17</v>
      </c>
      <c r="J179" t="s">
        <v>18</v>
      </c>
      <c r="K179" t="s">
        <v>19</v>
      </c>
      <c r="L179" t="s">
        <v>137</v>
      </c>
      <c r="M179" t="s">
        <v>21</v>
      </c>
      <c r="N179" t="s">
        <v>479</v>
      </c>
      <c r="O179">
        <v>5000</v>
      </c>
    </row>
    <row r="180" spans="1:15" x14ac:dyDescent="0.25">
      <c r="A180" s="9" t="s">
        <v>660</v>
      </c>
      <c r="B180" t="s">
        <v>212</v>
      </c>
      <c r="C180" t="s">
        <v>13</v>
      </c>
      <c r="D180" t="s">
        <v>14</v>
      </c>
      <c r="E180" t="s">
        <v>54</v>
      </c>
      <c r="F180" t="s">
        <v>25</v>
      </c>
      <c r="G180" s="8">
        <v>45454</v>
      </c>
      <c r="H180" s="8">
        <v>45274</v>
      </c>
      <c r="I180" t="s">
        <v>17</v>
      </c>
      <c r="J180" t="s">
        <v>18</v>
      </c>
      <c r="K180" t="s">
        <v>26</v>
      </c>
      <c r="L180" t="s">
        <v>20</v>
      </c>
      <c r="M180" t="s">
        <v>21</v>
      </c>
      <c r="N180" t="s">
        <v>479</v>
      </c>
      <c r="O180">
        <v>5000</v>
      </c>
    </row>
    <row r="181" spans="1:15" x14ac:dyDescent="0.25">
      <c r="A181" s="9" t="s">
        <v>661</v>
      </c>
      <c r="B181" t="s">
        <v>213</v>
      </c>
      <c r="C181" t="s">
        <v>28</v>
      </c>
      <c r="D181" t="s">
        <v>125</v>
      </c>
      <c r="E181" t="s">
        <v>54</v>
      </c>
      <c r="F181" t="s">
        <v>25</v>
      </c>
      <c r="G181" s="8">
        <v>45454</v>
      </c>
      <c r="H181" s="8">
        <v>45274</v>
      </c>
      <c r="I181" t="s">
        <v>17</v>
      </c>
      <c r="J181" t="s">
        <v>18</v>
      </c>
      <c r="K181" t="s">
        <v>26</v>
      </c>
      <c r="L181" t="s">
        <v>20</v>
      </c>
      <c r="M181" t="s">
        <v>21</v>
      </c>
      <c r="N181" t="s">
        <v>479</v>
      </c>
      <c r="O181">
        <v>5000</v>
      </c>
    </row>
    <row r="182" spans="1:15" x14ac:dyDescent="0.25">
      <c r="A182" s="9" t="s">
        <v>662</v>
      </c>
      <c r="B182" t="s">
        <v>214</v>
      </c>
      <c r="C182" t="s">
        <v>28</v>
      </c>
      <c r="D182" t="s">
        <v>14</v>
      </c>
      <c r="E182" t="s">
        <v>54</v>
      </c>
      <c r="F182" t="s">
        <v>25</v>
      </c>
      <c r="G182" s="8">
        <v>45454</v>
      </c>
      <c r="H182" s="8">
        <v>45274</v>
      </c>
      <c r="I182" t="s">
        <v>17</v>
      </c>
      <c r="J182" t="s">
        <v>18</v>
      </c>
      <c r="K182" t="s">
        <v>19</v>
      </c>
      <c r="L182" t="s">
        <v>20</v>
      </c>
      <c r="M182" t="s">
        <v>21</v>
      </c>
      <c r="N182" t="s">
        <v>479</v>
      </c>
      <c r="O182">
        <v>5000</v>
      </c>
    </row>
    <row r="183" spans="1:15" x14ac:dyDescent="0.25">
      <c r="A183" s="9" t="s">
        <v>663</v>
      </c>
      <c r="B183" t="s">
        <v>215</v>
      </c>
      <c r="C183" t="s">
        <v>129</v>
      </c>
      <c r="D183" t="s">
        <v>107</v>
      </c>
      <c r="E183" t="s">
        <v>24</v>
      </c>
      <c r="F183" t="s">
        <v>25</v>
      </c>
      <c r="G183" s="8">
        <v>45457</v>
      </c>
      <c r="H183" s="8">
        <v>45277</v>
      </c>
      <c r="I183" t="s">
        <v>17</v>
      </c>
      <c r="J183" t="s">
        <v>29</v>
      </c>
      <c r="K183" t="s">
        <v>26</v>
      </c>
      <c r="L183" t="s">
        <v>20</v>
      </c>
      <c r="M183" t="s">
        <v>21</v>
      </c>
      <c r="N183" t="s">
        <v>479</v>
      </c>
      <c r="O183">
        <v>5000</v>
      </c>
    </row>
    <row r="184" spans="1:15" x14ac:dyDescent="0.25">
      <c r="A184" s="9" t="s">
        <v>664</v>
      </c>
      <c r="B184" t="s">
        <v>216</v>
      </c>
      <c r="C184" t="s">
        <v>28</v>
      </c>
      <c r="D184" t="s">
        <v>14</v>
      </c>
      <c r="E184" t="s">
        <v>54</v>
      </c>
      <c r="F184" t="s">
        <v>25</v>
      </c>
      <c r="G184" s="8">
        <v>45457</v>
      </c>
      <c r="H184" s="8">
        <v>45277</v>
      </c>
      <c r="I184" t="s">
        <v>58</v>
      </c>
      <c r="J184" t="s">
        <v>18</v>
      </c>
      <c r="K184" t="s">
        <v>26</v>
      </c>
      <c r="L184" t="s">
        <v>20</v>
      </c>
      <c r="M184" t="s">
        <v>21</v>
      </c>
      <c r="N184" t="s">
        <v>479</v>
      </c>
      <c r="O184">
        <v>5000</v>
      </c>
    </row>
    <row r="185" spans="1:15" x14ac:dyDescent="0.25">
      <c r="A185" s="9" t="s">
        <v>665</v>
      </c>
      <c r="B185" t="s">
        <v>217</v>
      </c>
      <c r="C185" t="s">
        <v>34</v>
      </c>
      <c r="D185" t="s">
        <v>14</v>
      </c>
      <c r="E185" t="s">
        <v>54</v>
      </c>
      <c r="F185" t="s">
        <v>25</v>
      </c>
      <c r="G185" s="8">
        <v>45457</v>
      </c>
      <c r="H185" s="8">
        <v>45277</v>
      </c>
      <c r="I185" t="s">
        <v>58</v>
      </c>
      <c r="J185" t="s">
        <v>18</v>
      </c>
      <c r="K185" t="s">
        <v>26</v>
      </c>
      <c r="L185" t="s">
        <v>20</v>
      </c>
      <c r="M185" t="s">
        <v>21</v>
      </c>
      <c r="N185" t="s">
        <v>479</v>
      </c>
      <c r="O185">
        <v>5000</v>
      </c>
    </row>
    <row r="186" spans="1:15" x14ac:dyDescent="0.25">
      <c r="A186" s="9" t="s">
        <v>666</v>
      </c>
      <c r="B186" t="s">
        <v>218</v>
      </c>
      <c r="C186" t="s">
        <v>28</v>
      </c>
      <c r="D186" t="s">
        <v>14</v>
      </c>
      <c r="E186" t="s">
        <v>54</v>
      </c>
      <c r="F186" t="s">
        <v>25</v>
      </c>
      <c r="G186" s="8">
        <v>45457</v>
      </c>
      <c r="H186" s="8">
        <v>45277</v>
      </c>
      <c r="I186" t="s">
        <v>58</v>
      </c>
      <c r="J186" t="s">
        <v>18</v>
      </c>
      <c r="K186" t="s">
        <v>26</v>
      </c>
      <c r="L186" t="s">
        <v>20</v>
      </c>
      <c r="M186" t="s">
        <v>21</v>
      </c>
      <c r="N186" t="s">
        <v>479</v>
      </c>
      <c r="O186">
        <v>5000</v>
      </c>
    </row>
    <row r="187" spans="1:15" x14ac:dyDescent="0.25">
      <c r="A187" s="9" t="s">
        <v>667</v>
      </c>
      <c r="B187" t="s">
        <v>170</v>
      </c>
      <c r="C187" t="s">
        <v>34</v>
      </c>
      <c r="D187" t="s">
        <v>14</v>
      </c>
      <c r="E187" t="s">
        <v>54</v>
      </c>
      <c r="F187" t="s">
        <v>25</v>
      </c>
      <c r="G187" s="8">
        <v>45457</v>
      </c>
      <c r="H187" s="8">
        <v>45277</v>
      </c>
      <c r="I187" t="s">
        <v>17</v>
      </c>
      <c r="J187" t="s">
        <v>18</v>
      </c>
      <c r="K187" t="s">
        <v>30</v>
      </c>
      <c r="L187" t="s">
        <v>137</v>
      </c>
      <c r="M187" t="s">
        <v>21</v>
      </c>
      <c r="N187" t="s">
        <v>479</v>
      </c>
      <c r="O187">
        <v>5000</v>
      </c>
    </row>
    <row r="188" spans="1:15" x14ac:dyDescent="0.25">
      <c r="A188" s="9" t="s">
        <v>668</v>
      </c>
      <c r="B188" t="s">
        <v>219</v>
      </c>
      <c r="C188" t="s">
        <v>34</v>
      </c>
      <c r="D188" t="s">
        <v>127</v>
      </c>
      <c r="E188" t="s">
        <v>54</v>
      </c>
      <c r="F188" t="s">
        <v>25</v>
      </c>
      <c r="G188" s="8">
        <v>45457</v>
      </c>
      <c r="H188" s="8">
        <v>45277</v>
      </c>
      <c r="I188" t="s">
        <v>17</v>
      </c>
      <c r="J188" t="s">
        <v>18</v>
      </c>
      <c r="K188" t="s">
        <v>30</v>
      </c>
      <c r="L188" t="s">
        <v>50</v>
      </c>
      <c r="M188" t="s">
        <v>32</v>
      </c>
      <c r="N188" t="s">
        <v>479</v>
      </c>
      <c r="O188">
        <v>5000</v>
      </c>
    </row>
    <row r="189" spans="1:15" x14ac:dyDescent="0.25">
      <c r="A189" s="9" t="s">
        <v>669</v>
      </c>
      <c r="B189" t="s">
        <v>220</v>
      </c>
      <c r="C189" t="s">
        <v>13</v>
      </c>
      <c r="D189" t="s">
        <v>14</v>
      </c>
      <c r="E189" t="s">
        <v>54</v>
      </c>
      <c r="F189" t="s">
        <v>25</v>
      </c>
      <c r="G189" s="8">
        <v>45457</v>
      </c>
      <c r="H189" s="8">
        <v>45277</v>
      </c>
      <c r="I189" t="s">
        <v>17</v>
      </c>
      <c r="J189" t="s">
        <v>18</v>
      </c>
      <c r="K189" t="s">
        <v>19</v>
      </c>
      <c r="L189" t="s">
        <v>20</v>
      </c>
      <c r="M189" t="s">
        <v>21</v>
      </c>
      <c r="N189" t="s">
        <v>479</v>
      </c>
      <c r="O189">
        <v>5000</v>
      </c>
    </row>
    <row r="190" spans="1:15" x14ac:dyDescent="0.25">
      <c r="A190" s="9" t="s">
        <v>670</v>
      </c>
      <c r="B190" t="s">
        <v>221</v>
      </c>
      <c r="C190" t="s">
        <v>13</v>
      </c>
      <c r="D190" t="s">
        <v>14</v>
      </c>
      <c r="E190" t="s">
        <v>54</v>
      </c>
      <c r="F190" t="s">
        <v>25</v>
      </c>
      <c r="G190" s="8">
        <v>45457</v>
      </c>
      <c r="H190" s="8">
        <v>45277</v>
      </c>
      <c r="I190" t="s">
        <v>17</v>
      </c>
      <c r="J190" t="s">
        <v>18</v>
      </c>
      <c r="K190" t="s">
        <v>19</v>
      </c>
      <c r="L190" t="s">
        <v>66</v>
      </c>
      <c r="M190" t="s">
        <v>37</v>
      </c>
      <c r="N190" t="s">
        <v>479</v>
      </c>
      <c r="O190">
        <v>5000</v>
      </c>
    </row>
    <row r="191" spans="1:15" x14ac:dyDescent="0.25">
      <c r="A191" s="9" t="s">
        <v>671</v>
      </c>
      <c r="B191" t="s">
        <v>222</v>
      </c>
      <c r="C191" t="s">
        <v>28</v>
      </c>
      <c r="D191" t="s">
        <v>14</v>
      </c>
      <c r="E191" t="s">
        <v>54</v>
      </c>
      <c r="F191" t="s">
        <v>25</v>
      </c>
      <c r="G191" s="8">
        <v>45457</v>
      </c>
      <c r="H191" s="8">
        <v>45277</v>
      </c>
      <c r="I191" t="s">
        <v>17</v>
      </c>
      <c r="J191" t="s">
        <v>18</v>
      </c>
      <c r="K191" t="s">
        <v>30</v>
      </c>
      <c r="L191" t="s">
        <v>20</v>
      </c>
      <c r="M191" t="s">
        <v>21</v>
      </c>
      <c r="N191" t="s">
        <v>479</v>
      </c>
      <c r="O191">
        <v>5000</v>
      </c>
    </row>
    <row r="192" spans="1:15" x14ac:dyDescent="0.25">
      <c r="A192" s="9" t="s">
        <v>672</v>
      </c>
      <c r="B192" t="s">
        <v>223</v>
      </c>
      <c r="C192" t="s">
        <v>28</v>
      </c>
      <c r="D192" t="s">
        <v>14</v>
      </c>
      <c r="E192" t="s">
        <v>54</v>
      </c>
      <c r="F192" t="s">
        <v>25</v>
      </c>
      <c r="G192" s="8">
        <v>45457</v>
      </c>
      <c r="H192" s="8">
        <v>45277</v>
      </c>
      <c r="I192" t="s">
        <v>17</v>
      </c>
      <c r="J192" t="s">
        <v>18</v>
      </c>
      <c r="K192" t="s">
        <v>30</v>
      </c>
      <c r="L192" t="s">
        <v>20</v>
      </c>
      <c r="M192" t="s">
        <v>21</v>
      </c>
      <c r="N192" t="s">
        <v>479</v>
      </c>
      <c r="O192">
        <v>5000</v>
      </c>
    </row>
    <row r="193" spans="1:15" x14ac:dyDescent="0.25">
      <c r="A193" s="9" t="s">
        <v>673</v>
      </c>
      <c r="B193" t="s">
        <v>224</v>
      </c>
      <c r="C193" t="s">
        <v>129</v>
      </c>
      <c r="D193" t="s">
        <v>127</v>
      </c>
      <c r="E193" t="s">
        <v>54</v>
      </c>
      <c r="F193" t="s">
        <v>25</v>
      </c>
      <c r="G193" s="8">
        <v>45457</v>
      </c>
      <c r="H193" s="8">
        <v>45277</v>
      </c>
      <c r="I193" t="s">
        <v>17</v>
      </c>
      <c r="J193" t="s">
        <v>18</v>
      </c>
      <c r="K193" t="s">
        <v>26</v>
      </c>
      <c r="L193" t="s">
        <v>20</v>
      </c>
      <c r="M193" t="s">
        <v>21</v>
      </c>
      <c r="N193" t="s">
        <v>479</v>
      </c>
      <c r="O193">
        <v>5000</v>
      </c>
    </row>
    <row r="194" spans="1:15" x14ac:dyDescent="0.25">
      <c r="A194" s="9" t="s">
        <v>674</v>
      </c>
      <c r="B194" t="s">
        <v>225</v>
      </c>
      <c r="C194" t="s">
        <v>28</v>
      </c>
      <c r="D194" t="s">
        <v>14</v>
      </c>
      <c r="E194" t="s">
        <v>54</v>
      </c>
      <c r="F194" t="s">
        <v>25</v>
      </c>
      <c r="G194" s="8">
        <v>45457</v>
      </c>
      <c r="H194" s="8">
        <v>45277</v>
      </c>
      <c r="I194" t="s">
        <v>58</v>
      </c>
      <c r="J194" t="s">
        <v>18</v>
      </c>
      <c r="K194" t="s">
        <v>30</v>
      </c>
      <c r="L194" t="s">
        <v>66</v>
      </c>
      <c r="M194" t="s">
        <v>37</v>
      </c>
      <c r="N194" t="s">
        <v>479</v>
      </c>
      <c r="O194">
        <v>5000</v>
      </c>
    </row>
    <row r="195" spans="1:15" x14ac:dyDescent="0.25">
      <c r="A195" s="9" t="s">
        <v>675</v>
      </c>
      <c r="B195" t="s">
        <v>226</v>
      </c>
      <c r="C195" t="s">
        <v>34</v>
      </c>
      <c r="D195" t="s">
        <v>14</v>
      </c>
      <c r="E195" t="s">
        <v>54</v>
      </c>
      <c r="F195" t="s">
        <v>25</v>
      </c>
      <c r="G195" s="8">
        <v>45457</v>
      </c>
      <c r="H195" s="8">
        <v>45277</v>
      </c>
      <c r="I195" t="s">
        <v>58</v>
      </c>
      <c r="J195" t="s">
        <v>18</v>
      </c>
      <c r="K195" t="s">
        <v>19</v>
      </c>
      <c r="L195" t="s">
        <v>50</v>
      </c>
      <c r="M195" t="s">
        <v>32</v>
      </c>
      <c r="N195" t="s">
        <v>479</v>
      </c>
      <c r="O195">
        <v>5000</v>
      </c>
    </row>
    <row r="196" spans="1:15" x14ac:dyDescent="0.25">
      <c r="A196" s="9" t="s">
        <v>676</v>
      </c>
      <c r="B196" t="s">
        <v>227</v>
      </c>
      <c r="C196" t="s">
        <v>28</v>
      </c>
      <c r="D196" t="s">
        <v>14</v>
      </c>
      <c r="E196" t="s">
        <v>54</v>
      </c>
      <c r="F196" t="s">
        <v>25</v>
      </c>
      <c r="G196" s="8">
        <v>45457</v>
      </c>
      <c r="H196" s="8">
        <v>45277</v>
      </c>
      <c r="I196" t="s">
        <v>58</v>
      </c>
      <c r="J196" t="s">
        <v>18</v>
      </c>
      <c r="K196" t="s">
        <v>26</v>
      </c>
      <c r="L196" t="s">
        <v>66</v>
      </c>
      <c r="M196" t="s">
        <v>37</v>
      </c>
      <c r="N196" t="s">
        <v>479</v>
      </c>
      <c r="O196">
        <v>5000</v>
      </c>
    </row>
    <row r="197" spans="1:15" x14ac:dyDescent="0.25">
      <c r="A197" s="9" t="s">
        <v>677</v>
      </c>
      <c r="B197" t="s">
        <v>228</v>
      </c>
      <c r="C197" t="s">
        <v>28</v>
      </c>
      <c r="D197" t="s">
        <v>14</v>
      </c>
      <c r="E197" t="s">
        <v>54</v>
      </c>
      <c r="F197" t="s">
        <v>25</v>
      </c>
      <c r="G197" s="8">
        <v>45457</v>
      </c>
      <c r="H197" s="8">
        <v>45277</v>
      </c>
      <c r="I197" t="s">
        <v>58</v>
      </c>
      <c r="J197" t="s">
        <v>18</v>
      </c>
      <c r="K197" t="s">
        <v>19</v>
      </c>
      <c r="L197" t="s">
        <v>20</v>
      </c>
      <c r="M197" t="s">
        <v>21</v>
      </c>
      <c r="N197" t="s">
        <v>479</v>
      </c>
      <c r="O197">
        <v>5000</v>
      </c>
    </row>
    <row r="198" spans="1:15" x14ac:dyDescent="0.25">
      <c r="A198" s="9" t="s">
        <v>678</v>
      </c>
      <c r="B198" t="s">
        <v>229</v>
      </c>
      <c r="C198" t="s">
        <v>28</v>
      </c>
      <c r="D198" t="s">
        <v>14</v>
      </c>
      <c r="E198" t="s">
        <v>54</v>
      </c>
      <c r="F198" t="s">
        <v>25</v>
      </c>
      <c r="G198" s="8">
        <v>45457</v>
      </c>
      <c r="H198" s="8">
        <v>45277</v>
      </c>
      <c r="I198" t="s">
        <v>58</v>
      </c>
      <c r="J198" t="s">
        <v>18</v>
      </c>
      <c r="K198" t="s">
        <v>26</v>
      </c>
      <c r="L198" t="s">
        <v>20</v>
      </c>
      <c r="M198" t="s">
        <v>21</v>
      </c>
      <c r="N198" t="s">
        <v>479</v>
      </c>
      <c r="O198">
        <v>5000</v>
      </c>
    </row>
    <row r="199" spans="1:15" x14ac:dyDescent="0.25">
      <c r="A199" s="9" t="s">
        <v>679</v>
      </c>
      <c r="B199" t="s">
        <v>230</v>
      </c>
      <c r="C199" t="s">
        <v>13</v>
      </c>
      <c r="D199" t="s">
        <v>14</v>
      </c>
      <c r="E199" t="s">
        <v>54</v>
      </c>
      <c r="F199" t="s">
        <v>25</v>
      </c>
      <c r="G199" s="8">
        <v>45457</v>
      </c>
      <c r="H199" s="8">
        <v>45277</v>
      </c>
      <c r="I199" t="s">
        <v>58</v>
      </c>
      <c r="J199" t="s">
        <v>18</v>
      </c>
      <c r="K199" t="s">
        <v>19</v>
      </c>
      <c r="L199" t="s">
        <v>66</v>
      </c>
      <c r="M199" t="s">
        <v>37</v>
      </c>
      <c r="N199" t="s">
        <v>479</v>
      </c>
      <c r="O199">
        <v>5000</v>
      </c>
    </row>
    <row r="200" spans="1:15" x14ac:dyDescent="0.25">
      <c r="A200" s="9" t="s">
        <v>680</v>
      </c>
      <c r="B200" t="s">
        <v>231</v>
      </c>
      <c r="C200" t="s">
        <v>34</v>
      </c>
      <c r="D200" t="s">
        <v>14</v>
      </c>
      <c r="E200" t="s">
        <v>54</v>
      </c>
      <c r="F200" t="s">
        <v>25</v>
      </c>
      <c r="G200" s="8">
        <v>45457</v>
      </c>
      <c r="H200" s="8">
        <v>45277</v>
      </c>
      <c r="I200" t="s">
        <v>58</v>
      </c>
      <c r="J200" t="s">
        <v>18</v>
      </c>
      <c r="K200" t="s">
        <v>19</v>
      </c>
      <c r="L200" t="s">
        <v>66</v>
      </c>
      <c r="M200" t="s">
        <v>37</v>
      </c>
      <c r="N200" t="s">
        <v>479</v>
      </c>
      <c r="O200">
        <v>5000</v>
      </c>
    </row>
    <row r="201" spans="1:15" x14ac:dyDescent="0.25">
      <c r="A201" s="9" t="s">
        <v>681</v>
      </c>
      <c r="B201" t="s">
        <v>232</v>
      </c>
      <c r="C201" t="s">
        <v>34</v>
      </c>
      <c r="D201" t="s">
        <v>14</v>
      </c>
      <c r="E201" t="s">
        <v>54</v>
      </c>
      <c r="F201" t="s">
        <v>25</v>
      </c>
      <c r="G201" s="8">
        <v>45457</v>
      </c>
      <c r="H201" s="8">
        <v>45277</v>
      </c>
      <c r="I201" t="s">
        <v>17</v>
      </c>
      <c r="J201" t="s">
        <v>18</v>
      </c>
      <c r="K201" t="s">
        <v>77</v>
      </c>
      <c r="L201" t="s">
        <v>137</v>
      </c>
      <c r="M201" t="s">
        <v>21</v>
      </c>
      <c r="N201" t="s">
        <v>479</v>
      </c>
      <c r="O201">
        <v>5000</v>
      </c>
    </row>
    <row r="202" spans="1:15" x14ac:dyDescent="0.25">
      <c r="A202" s="9" t="s">
        <v>682</v>
      </c>
      <c r="B202" t="s">
        <v>233</v>
      </c>
      <c r="C202" t="s">
        <v>28</v>
      </c>
      <c r="D202" t="s">
        <v>14</v>
      </c>
      <c r="E202" t="s">
        <v>54</v>
      </c>
      <c r="F202" t="s">
        <v>25</v>
      </c>
      <c r="G202" s="8">
        <v>45457</v>
      </c>
      <c r="H202" s="8">
        <v>45277</v>
      </c>
      <c r="I202" t="s">
        <v>17</v>
      </c>
      <c r="J202" t="s">
        <v>18</v>
      </c>
      <c r="K202" t="s">
        <v>30</v>
      </c>
      <c r="L202" t="s">
        <v>66</v>
      </c>
      <c r="M202" t="s">
        <v>37</v>
      </c>
      <c r="N202" t="s">
        <v>479</v>
      </c>
      <c r="O202">
        <v>5000</v>
      </c>
    </row>
    <row r="203" spans="1:15" x14ac:dyDescent="0.25">
      <c r="A203" s="9" t="s">
        <v>683</v>
      </c>
      <c r="B203" t="s">
        <v>234</v>
      </c>
      <c r="C203" t="s">
        <v>129</v>
      </c>
      <c r="D203" t="s">
        <v>14</v>
      </c>
      <c r="E203" t="s">
        <v>54</v>
      </c>
      <c r="F203" t="s">
        <v>25</v>
      </c>
      <c r="G203" s="8">
        <v>45457</v>
      </c>
      <c r="H203" s="8">
        <v>45277</v>
      </c>
      <c r="I203" t="s">
        <v>58</v>
      </c>
      <c r="J203" t="s">
        <v>18</v>
      </c>
      <c r="K203" t="s">
        <v>44</v>
      </c>
      <c r="L203" t="s">
        <v>120</v>
      </c>
      <c r="M203" t="s">
        <v>32</v>
      </c>
      <c r="N203" t="s">
        <v>479</v>
      </c>
      <c r="O203">
        <v>5000</v>
      </c>
    </row>
    <row r="204" spans="1:15" x14ac:dyDescent="0.25">
      <c r="A204" s="9" t="s">
        <v>684</v>
      </c>
      <c r="B204" t="s">
        <v>235</v>
      </c>
      <c r="C204" t="s">
        <v>28</v>
      </c>
      <c r="D204" t="s">
        <v>14</v>
      </c>
      <c r="E204" t="s">
        <v>54</v>
      </c>
      <c r="F204" t="s">
        <v>25</v>
      </c>
      <c r="G204" s="8">
        <v>45457</v>
      </c>
      <c r="H204" s="8">
        <v>45277</v>
      </c>
      <c r="I204" t="s">
        <v>58</v>
      </c>
      <c r="J204" t="s">
        <v>18</v>
      </c>
      <c r="K204" t="s">
        <v>30</v>
      </c>
      <c r="L204" t="s">
        <v>66</v>
      </c>
      <c r="M204" t="s">
        <v>37</v>
      </c>
      <c r="N204" t="s">
        <v>479</v>
      </c>
      <c r="O204">
        <v>5000</v>
      </c>
    </row>
    <row r="205" spans="1:15" x14ac:dyDescent="0.25">
      <c r="A205" s="9" t="s">
        <v>685</v>
      </c>
      <c r="B205" t="s">
        <v>236</v>
      </c>
      <c r="C205" t="s">
        <v>34</v>
      </c>
      <c r="D205" t="s">
        <v>14</v>
      </c>
      <c r="E205" t="s">
        <v>54</v>
      </c>
      <c r="F205" t="s">
        <v>25</v>
      </c>
      <c r="G205" s="8">
        <v>45457</v>
      </c>
      <c r="H205" s="8">
        <v>45277</v>
      </c>
      <c r="I205" t="s">
        <v>58</v>
      </c>
      <c r="J205" t="s">
        <v>18</v>
      </c>
      <c r="K205" t="s">
        <v>26</v>
      </c>
      <c r="L205" t="s">
        <v>20</v>
      </c>
      <c r="M205" t="s">
        <v>21</v>
      </c>
      <c r="N205" t="s">
        <v>479</v>
      </c>
      <c r="O205">
        <v>5000</v>
      </c>
    </row>
    <row r="206" spans="1:15" x14ac:dyDescent="0.25">
      <c r="A206" s="9" t="s">
        <v>686</v>
      </c>
      <c r="B206" t="s">
        <v>237</v>
      </c>
      <c r="C206" t="s">
        <v>34</v>
      </c>
      <c r="D206" t="s">
        <v>14</v>
      </c>
      <c r="E206" t="s">
        <v>54</v>
      </c>
      <c r="F206" t="s">
        <v>25</v>
      </c>
      <c r="G206" s="8">
        <v>45457</v>
      </c>
      <c r="H206" s="8">
        <v>45277</v>
      </c>
      <c r="I206" t="s">
        <v>58</v>
      </c>
      <c r="J206" t="s">
        <v>29</v>
      </c>
      <c r="K206" t="s">
        <v>26</v>
      </c>
      <c r="L206" t="s">
        <v>20</v>
      </c>
      <c r="M206" t="s">
        <v>21</v>
      </c>
      <c r="N206" t="s">
        <v>479</v>
      </c>
      <c r="O206">
        <v>5000</v>
      </c>
    </row>
    <row r="207" spans="1:15" x14ac:dyDescent="0.25">
      <c r="A207" s="9" t="s">
        <v>687</v>
      </c>
      <c r="B207" t="s">
        <v>238</v>
      </c>
      <c r="C207" t="s">
        <v>34</v>
      </c>
      <c r="D207" t="s">
        <v>14</v>
      </c>
      <c r="E207" t="s">
        <v>54</v>
      </c>
      <c r="F207" t="s">
        <v>25</v>
      </c>
      <c r="G207" s="8">
        <v>45457</v>
      </c>
      <c r="H207" s="8">
        <v>45277</v>
      </c>
      <c r="I207" t="s">
        <v>58</v>
      </c>
      <c r="J207" t="s">
        <v>18</v>
      </c>
      <c r="K207" t="s">
        <v>30</v>
      </c>
      <c r="L207" t="s">
        <v>20</v>
      </c>
      <c r="M207" t="s">
        <v>21</v>
      </c>
      <c r="N207" t="s">
        <v>479</v>
      </c>
      <c r="O207">
        <v>5000</v>
      </c>
    </row>
    <row r="208" spans="1:15" x14ac:dyDescent="0.25">
      <c r="A208" s="9" t="s">
        <v>688</v>
      </c>
      <c r="B208" t="s">
        <v>239</v>
      </c>
      <c r="C208" t="s">
        <v>34</v>
      </c>
      <c r="D208" t="s">
        <v>14</v>
      </c>
      <c r="E208" t="s">
        <v>54</v>
      </c>
      <c r="F208" t="s">
        <v>25</v>
      </c>
      <c r="G208" s="8">
        <v>45457</v>
      </c>
      <c r="H208" s="8">
        <v>45277</v>
      </c>
      <c r="I208" t="s">
        <v>17</v>
      </c>
      <c r="J208" t="s">
        <v>18</v>
      </c>
      <c r="K208" t="s">
        <v>19</v>
      </c>
      <c r="L208" t="s">
        <v>20</v>
      </c>
      <c r="M208" t="s">
        <v>21</v>
      </c>
      <c r="N208" t="s">
        <v>479</v>
      </c>
      <c r="O208">
        <v>5000</v>
      </c>
    </row>
    <row r="209" spans="1:15" x14ac:dyDescent="0.25">
      <c r="A209" s="9" t="s">
        <v>689</v>
      </c>
      <c r="B209" t="s">
        <v>240</v>
      </c>
      <c r="C209" t="s">
        <v>34</v>
      </c>
      <c r="D209" t="s">
        <v>127</v>
      </c>
      <c r="E209" t="s">
        <v>54</v>
      </c>
      <c r="F209" t="s">
        <v>25</v>
      </c>
      <c r="G209" s="8">
        <v>45458</v>
      </c>
      <c r="H209" s="8">
        <v>45278</v>
      </c>
      <c r="I209" t="s">
        <v>17</v>
      </c>
      <c r="J209" t="s">
        <v>18</v>
      </c>
      <c r="K209" t="s">
        <v>19</v>
      </c>
      <c r="L209" t="s">
        <v>20</v>
      </c>
      <c r="M209" t="s">
        <v>21</v>
      </c>
      <c r="N209" t="s">
        <v>479</v>
      </c>
      <c r="O209">
        <v>5000</v>
      </c>
    </row>
    <row r="210" spans="1:15" x14ac:dyDescent="0.25">
      <c r="A210" s="9" t="s">
        <v>690</v>
      </c>
      <c r="B210" t="s">
        <v>241</v>
      </c>
      <c r="C210" t="s">
        <v>34</v>
      </c>
      <c r="D210" t="s">
        <v>14</v>
      </c>
      <c r="E210" t="s">
        <v>54</v>
      </c>
      <c r="F210" t="s">
        <v>25</v>
      </c>
      <c r="G210" s="8">
        <v>45458</v>
      </c>
      <c r="H210" s="8">
        <v>45278</v>
      </c>
      <c r="I210" t="s">
        <v>58</v>
      </c>
      <c r="J210" t="s">
        <v>18</v>
      </c>
      <c r="K210" t="s">
        <v>26</v>
      </c>
      <c r="L210" t="s">
        <v>20</v>
      </c>
      <c r="M210" t="s">
        <v>21</v>
      </c>
      <c r="N210" t="s">
        <v>479</v>
      </c>
      <c r="O210">
        <v>5000</v>
      </c>
    </row>
    <row r="211" spans="1:15" x14ac:dyDescent="0.25">
      <c r="A211" s="9" t="s">
        <v>691</v>
      </c>
      <c r="B211" t="s">
        <v>242</v>
      </c>
      <c r="C211" t="s">
        <v>28</v>
      </c>
      <c r="D211" t="s">
        <v>14</v>
      </c>
      <c r="E211" t="s">
        <v>54</v>
      </c>
      <c r="F211" t="s">
        <v>25</v>
      </c>
      <c r="G211" s="8">
        <v>45458</v>
      </c>
      <c r="H211" s="8">
        <v>45278</v>
      </c>
      <c r="I211" t="s">
        <v>58</v>
      </c>
      <c r="J211" t="s">
        <v>18</v>
      </c>
      <c r="K211" t="s">
        <v>19</v>
      </c>
      <c r="L211" t="s">
        <v>78</v>
      </c>
      <c r="M211" t="s">
        <v>37</v>
      </c>
      <c r="N211" t="s">
        <v>479</v>
      </c>
      <c r="O211">
        <v>5000</v>
      </c>
    </row>
    <row r="212" spans="1:15" x14ac:dyDescent="0.25">
      <c r="A212" s="9" t="s">
        <v>692</v>
      </c>
      <c r="B212" t="s">
        <v>243</v>
      </c>
      <c r="C212" t="s">
        <v>13</v>
      </c>
      <c r="D212" t="s">
        <v>14</v>
      </c>
      <c r="E212" t="s">
        <v>54</v>
      </c>
      <c r="F212" t="s">
        <v>25</v>
      </c>
      <c r="G212" s="8">
        <v>45458</v>
      </c>
      <c r="H212" s="8">
        <v>45278</v>
      </c>
      <c r="I212" t="s">
        <v>58</v>
      </c>
      <c r="J212" t="s">
        <v>18</v>
      </c>
      <c r="K212" t="s">
        <v>30</v>
      </c>
      <c r="L212" t="s">
        <v>66</v>
      </c>
      <c r="M212" t="s">
        <v>37</v>
      </c>
      <c r="N212" t="s">
        <v>479</v>
      </c>
      <c r="O212">
        <v>5000</v>
      </c>
    </row>
    <row r="213" spans="1:15" x14ac:dyDescent="0.25">
      <c r="A213" s="9" t="s">
        <v>693</v>
      </c>
      <c r="B213" t="s">
        <v>244</v>
      </c>
      <c r="C213" t="s">
        <v>34</v>
      </c>
      <c r="D213" t="s">
        <v>14</v>
      </c>
      <c r="E213" t="s">
        <v>54</v>
      </c>
      <c r="F213" t="s">
        <v>25</v>
      </c>
      <c r="G213" s="8">
        <v>45458</v>
      </c>
      <c r="H213" s="8">
        <v>45278</v>
      </c>
      <c r="I213" t="s">
        <v>58</v>
      </c>
      <c r="J213" t="s">
        <v>18</v>
      </c>
      <c r="K213" t="s">
        <v>19</v>
      </c>
      <c r="L213" t="s">
        <v>694</v>
      </c>
      <c r="M213" t="s">
        <v>40</v>
      </c>
      <c r="N213" t="s">
        <v>479</v>
      </c>
      <c r="O213">
        <v>5000</v>
      </c>
    </row>
    <row r="214" spans="1:15" x14ac:dyDescent="0.25">
      <c r="A214" s="9" t="s">
        <v>695</v>
      </c>
      <c r="B214" t="s">
        <v>245</v>
      </c>
      <c r="C214" t="s">
        <v>28</v>
      </c>
      <c r="D214" t="s">
        <v>14</v>
      </c>
      <c r="E214" t="s">
        <v>54</v>
      </c>
      <c r="F214" t="s">
        <v>25</v>
      </c>
      <c r="G214" s="8">
        <v>45458</v>
      </c>
      <c r="H214" s="8">
        <v>45278</v>
      </c>
      <c r="I214" t="s">
        <v>58</v>
      </c>
      <c r="J214" t="s">
        <v>29</v>
      </c>
      <c r="K214" t="s">
        <v>26</v>
      </c>
      <c r="L214" t="s">
        <v>20</v>
      </c>
      <c r="M214" t="s">
        <v>21</v>
      </c>
      <c r="N214" t="s">
        <v>479</v>
      </c>
      <c r="O214">
        <v>5000</v>
      </c>
    </row>
    <row r="215" spans="1:15" x14ac:dyDescent="0.25">
      <c r="A215" s="9" t="s">
        <v>696</v>
      </c>
      <c r="B215" t="s">
        <v>246</v>
      </c>
      <c r="C215" t="s">
        <v>13</v>
      </c>
      <c r="D215" t="s">
        <v>14</v>
      </c>
      <c r="E215" t="s">
        <v>54</v>
      </c>
      <c r="F215" t="s">
        <v>25</v>
      </c>
      <c r="G215" s="8">
        <v>45458</v>
      </c>
      <c r="H215" s="8">
        <v>45278</v>
      </c>
      <c r="I215" t="s">
        <v>58</v>
      </c>
      <c r="J215" t="s">
        <v>18</v>
      </c>
      <c r="K215" t="s">
        <v>26</v>
      </c>
      <c r="L215" t="s">
        <v>20</v>
      </c>
      <c r="M215" t="s">
        <v>21</v>
      </c>
      <c r="N215" t="s">
        <v>479</v>
      </c>
      <c r="O215">
        <v>5000</v>
      </c>
    </row>
    <row r="216" spans="1:15" x14ac:dyDescent="0.25">
      <c r="A216" s="9" t="s">
        <v>697</v>
      </c>
      <c r="B216" t="s">
        <v>247</v>
      </c>
      <c r="C216" t="s">
        <v>34</v>
      </c>
      <c r="D216" t="s">
        <v>14</v>
      </c>
      <c r="E216" t="s">
        <v>54</v>
      </c>
      <c r="F216" t="s">
        <v>25</v>
      </c>
      <c r="G216" s="8">
        <v>45458</v>
      </c>
      <c r="H216" s="8">
        <v>45278</v>
      </c>
      <c r="I216" t="s">
        <v>17</v>
      </c>
      <c r="J216" t="s">
        <v>18</v>
      </c>
      <c r="K216" t="s">
        <v>30</v>
      </c>
      <c r="L216" t="s">
        <v>20</v>
      </c>
      <c r="M216" t="s">
        <v>21</v>
      </c>
      <c r="N216" t="s">
        <v>479</v>
      </c>
      <c r="O216">
        <v>5000</v>
      </c>
    </row>
    <row r="217" spans="1:15" x14ac:dyDescent="0.25">
      <c r="A217" s="9" t="s">
        <v>698</v>
      </c>
      <c r="B217" t="s">
        <v>248</v>
      </c>
      <c r="C217" t="s">
        <v>34</v>
      </c>
      <c r="D217" t="s">
        <v>14</v>
      </c>
      <c r="E217" t="s">
        <v>54</v>
      </c>
      <c r="F217" t="s">
        <v>25</v>
      </c>
      <c r="G217" s="8">
        <v>45458</v>
      </c>
      <c r="H217" s="8">
        <v>45278</v>
      </c>
      <c r="I217" t="s">
        <v>17</v>
      </c>
      <c r="J217" t="s">
        <v>29</v>
      </c>
      <c r="K217" t="s">
        <v>19</v>
      </c>
      <c r="L217" t="s">
        <v>20</v>
      </c>
      <c r="M217" t="s">
        <v>21</v>
      </c>
      <c r="N217" t="s">
        <v>479</v>
      </c>
      <c r="O217">
        <v>5000</v>
      </c>
    </row>
    <row r="218" spans="1:15" x14ac:dyDescent="0.25">
      <c r="A218" s="9" t="s">
        <v>699</v>
      </c>
      <c r="B218" t="s">
        <v>249</v>
      </c>
      <c r="C218" t="s">
        <v>28</v>
      </c>
      <c r="D218" t="s">
        <v>14</v>
      </c>
      <c r="E218" t="s">
        <v>54</v>
      </c>
      <c r="F218" t="s">
        <v>25</v>
      </c>
      <c r="G218" s="8">
        <v>45458</v>
      </c>
      <c r="H218" s="8">
        <v>45278</v>
      </c>
      <c r="I218" t="s">
        <v>17</v>
      </c>
      <c r="J218" t="s">
        <v>18</v>
      </c>
      <c r="K218" t="s">
        <v>30</v>
      </c>
      <c r="L218" t="s">
        <v>20</v>
      </c>
      <c r="M218" t="s">
        <v>21</v>
      </c>
      <c r="N218" t="s">
        <v>479</v>
      </c>
      <c r="O218">
        <v>5000</v>
      </c>
    </row>
    <row r="219" spans="1:15" x14ac:dyDescent="0.25">
      <c r="A219" s="9" t="s">
        <v>700</v>
      </c>
      <c r="B219" t="s">
        <v>250</v>
      </c>
      <c r="C219" t="s">
        <v>34</v>
      </c>
      <c r="D219" t="s">
        <v>14</v>
      </c>
      <c r="E219" t="s">
        <v>54</v>
      </c>
      <c r="F219" t="s">
        <v>25</v>
      </c>
      <c r="G219" s="8">
        <v>45458</v>
      </c>
      <c r="H219" s="8">
        <v>45278</v>
      </c>
      <c r="I219" t="s">
        <v>17</v>
      </c>
      <c r="J219" t="s">
        <v>18</v>
      </c>
      <c r="K219" t="s">
        <v>30</v>
      </c>
      <c r="L219" t="s">
        <v>20</v>
      </c>
      <c r="M219" t="s">
        <v>21</v>
      </c>
      <c r="N219" t="s">
        <v>479</v>
      </c>
      <c r="O219">
        <v>5000</v>
      </c>
    </row>
    <row r="220" spans="1:15" x14ac:dyDescent="0.25">
      <c r="A220" s="9" t="s">
        <v>701</v>
      </c>
      <c r="B220" t="s">
        <v>251</v>
      </c>
      <c r="C220" t="s">
        <v>13</v>
      </c>
      <c r="D220" t="s">
        <v>14</v>
      </c>
      <c r="E220" t="s">
        <v>54</v>
      </c>
      <c r="F220" t="s">
        <v>25</v>
      </c>
      <c r="G220" s="8">
        <v>45458</v>
      </c>
      <c r="H220" s="8">
        <v>45278</v>
      </c>
      <c r="I220" t="s">
        <v>17</v>
      </c>
      <c r="J220" t="s">
        <v>18</v>
      </c>
      <c r="K220" t="s">
        <v>26</v>
      </c>
      <c r="L220" t="s">
        <v>66</v>
      </c>
      <c r="M220" t="s">
        <v>37</v>
      </c>
      <c r="N220" t="s">
        <v>479</v>
      </c>
      <c r="O220">
        <v>5000</v>
      </c>
    </row>
    <row r="221" spans="1:15" x14ac:dyDescent="0.25">
      <c r="A221" s="9" t="s">
        <v>702</v>
      </c>
      <c r="B221" t="s">
        <v>252</v>
      </c>
      <c r="C221" t="s">
        <v>34</v>
      </c>
      <c r="D221" t="s">
        <v>14</v>
      </c>
      <c r="E221" t="s">
        <v>54</v>
      </c>
      <c r="F221" t="s">
        <v>25</v>
      </c>
      <c r="G221" s="8">
        <v>45458</v>
      </c>
      <c r="H221" s="8">
        <v>45278</v>
      </c>
      <c r="I221" t="s">
        <v>17</v>
      </c>
      <c r="J221" t="s">
        <v>18</v>
      </c>
      <c r="K221" t="s">
        <v>30</v>
      </c>
      <c r="L221" t="s">
        <v>253</v>
      </c>
      <c r="M221" t="s">
        <v>32</v>
      </c>
      <c r="N221" t="s">
        <v>479</v>
      </c>
      <c r="O221">
        <v>5000</v>
      </c>
    </row>
    <row r="222" spans="1:15" x14ac:dyDescent="0.25">
      <c r="A222" s="9" t="s">
        <v>703</v>
      </c>
      <c r="B222" t="s">
        <v>254</v>
      </c>
      <c r="C222" t="s">
        <v>34</v>
      </c>
      <c r="D222" t="s">
        <v>14</v>
      </c>
      <c r="E222" t="s">
        <v>54</v>
      </c>
      <c r="F222" t="s">
        <v>25</v>
      </c>
      <c r="G222" s="8">
        <v>45458</v>
      </c>
      <c r="H222" s="8">
        <v>45278</v>
      </c>
      <c r="I222" t="s">
        <v>58</v>
      </c>
      <c r="J222" t="s">
        <v>18</v>
      </c>
      <c r="K222" t="s">
        <v>30</v>
      </c>
      <c r="L222" t="s">
        <v>137</v>
      </c>
      <c r="M222" t="s">
        <v>21</v>
      </c>
      <c r="N222" t="s">
        <v>479</v>
      </c>
      <c r="O222">
        <v>5000</v>
      </c>
    </row>
    <row r="223" spans="1:15" x14ac:dyDescent="0.25">
      <c r="A223" s="9" t="s">
        <v>704</v>
      </c>
      <c r="B223" t="s">
        <v>255</v>
      </c>
      <c r="C223" t="s">
        <v>28</v>
      </c>
      <c r="D223" t="s">
        <v>127</v>
      </c>
      <c r="E223" t="s">
        <v>54</v>
      </c>
      <c r="F223" t="s">
        <v>25</v>
      </c>
      <c r="G223" s="8">
        <v>45458</v>
      </c>
      <c r="H223" s="8">
        <v>45278</v>
      </c>
      <c r="I223" t="s">
        <v>17</v>
      </c>
      <c r="J223" t="s">
        <v>18</v>
      </c>
      <c r="K223" t="s">
        <v>30</v>
      </c>
      <c r="L223" t="s">
        <v>20</v>
      </c>
      <c r="M223" t="s">
        <v>21</v>
      </c>
      <c r="N223" t="s">
        <v>479</v>
      </c>
      <c r="O223">
        <v>5000</v>
      </c>
    </row>
    <row r="224" spans="1:15" x14ac:dyDescent="0.25">
      <c r="A224" s="9" t="s">
        <v>705</v>
      </c>
      <c r="B224" t="s">
        <v>256</v>
      </c>
      <c r="C224" t="s">
        <v>34</v>
      </c>
      <c r="D224" t="s">
        <v>14</v>
      </c>
      <c r="E224" t="s">
        <v>54</v>
      </c>
      <c r="F224" t="s">
        <v>25</v>
      </c>
      <c r="G224" s="8">
        <v>45458</v>
      </c>
      <c r="H224" s="8">
        <v>45278</v>
      </c>
      <c r="I224" t="s">
        <v>17</v>
      </c>
      <c r="J224" t="s">
        <v>18</v>
      </c>
      <c r="K224" t="s">
        <v>19</v>
      </c>
      <c r="L224" t="s">
        <v>600</v>
      </c>
      <c r="M224" t="s">
        <v>37</v>
      </c>
      <c r="N224" t="s">
        <v>479</v>
      </c>
      <c r="O224">
        <v>5000</v>
      </c>
    </row>
    <row r="225" spans="1:15" x14ac:dyDescent="0.25">
      <c r="A225" s="9" t="s">
        <v>706</v>
      </c>
      <c r="B225" t="s">
        <v>257</v>
      </c>
      <c r="C225" t="s">
        <v>34</v>
      </c>
      <c r="D225" t="s">
        <v>14</v>
      </c>
      <c r="E225" t="s">
        <v>54</v>
      </c>
      <c r="F225" t="s">
        <v>25</v>
      </c>
      <c r="G225" s="8">
        <v>45458</v>
      </c>
      <c r="H225" s="8">
        <v>45278</v>
      </c>
      <c r="I225" t="s">
        <v>58</v>
      </c>
      <c r="J225" t="s">
        <v>18</v>
      </c>
      <c r="K225" t="s">
        <v>19</v>
      </c>
      <c r="L225" t="s">
        <v>140</v>
      </c>
      <c r="M225" t="s">
        <v>37</v>
      </c>
      <c r="N225" t="s">
        <v>479</v>
      </c>
      <c r="O225">
        <v>5000</v>
      </c>
    </row>
    <row r="226" spans="1:15" x14ac:dyDescent="0.25">
      <c r="A226" s="9" t="s">
        <v>707</v>
      </c>
      <c r="B226" t="s">
        <v>258</v>
      </c>
      <c r="C226" t="s">
        <v>13</v>
      </c>
      <c r="D226" t="s">
        <v>14</v>
      </c>
      <c r="E226" t="s">
        <v>54</v>
      </c>
      <c r="F226" t="s">
        <v>25</v>
      </c>
      <c r="G226" s="8">
        <v>45459</v>
      </c>
      <c r="H226" s="8">
        <v>45279</v>
      </c>
      <c r="I226" t="s">
        <v>17</v>
      </c>
      <c r="J226" t="s">
        <v>18</v>
      </c>
      <c r="K226" t="s">
        <v>19</v>
      </c>
      <c r="L226" t="s">
        <v>140</v>
      </c>
      <c r="M226" t="s">
        <v>37</v>
      </c>
      <c r="N226" t="s">
        <v>479</v>
      </c>
      <c r="O226">
        <v>5000</v>
      </c>
    </row>
    <row r="227" spans="1:15" x14ac:dyDescent="0.25">
      <c r="A227" s="9" t="s">
        <v>708</v>
      </c>
      <c r="B227" t="s">
        <v>259</v>
      </c>
      <c r="C227" t="s">
        <v>28</v>
      </c>
      <c r="D227" t="s">
        <v>14</v>
      </c>
      <c r="E227" t="s">
        <v>54</v>
      </c>
      <c r="F227" t="s">
        <v>25</v>
      </c>
      <c r="G227" s="8">
        <v>45459</v>
      </c>
      <c r="H227" s="8">
        <v>45279</v>
      </c>
      <c r="I227" t="s">
        <v>17</v>
      </c>
      <c r="J227" t="s">
        <v>18</v>
      </c>
      <c r="K227" t="s">
        <v>19</v>
      </c>
      <c r="L227" t="s">
        <v>137</v>
      </c>
      <c r="M227" t="s">
        <v>21</v>
      </c>
      <c r="N227" t="s">
        <v>479</v>
      </c>
      <c r="O227">
        <v>5000</v>
      </c>
    </row>
    <row r="228" spans="1:15" x14ac:dyDescent="0.25">
      <c r="A228" s="9" t="s">
        <v>709</v>
      </c>
      <c r="B228" t="s">
        <v>260</v>
      </c>
      <c r="C228" t="s">
        <v>34</v>
      </c>
      <c r="D228" t="s">
        <v>14</v>
      </c>
      <c r="E228" t="s">
        <v>54</v>
      </c>
      <c r="F228" t="s">
        <v>25</v>
      </c>
      <c r="G228" s="8">
        <v>45459</v>
      </c>
      <c r="H228" s="8">
        <v>45279</v>
      </c>
      <c r="I228" t="s">
        <v>17</v>
      </c>
      <c r="J228" t="s">
        <v>18</v>
      </c>
      <c r="K228" t="s">
        <v>77</v>
      </c>
      <c r="L228" t="s">
        <v>140</v>
      </c>
      <c r="M228" t="s">
        <v>37</v>
      </c>
      <c r="N228" t="s">
        <v>479</v>
      </c>
      <c r="O228">
        <v>5000</v>
      </c>
    </row>
    <row r="229" spans="1:15" x14ac:dyDescent="0.25">
      <c r="A229" s="9" t="s">
        <v>710</v>
      </c>
      <c r="B229" t="s">
        <v>261</v>
      </c>
      <c r="C229" t="s">
        <v>28</v>
      </c>
      <c r="D229" t="s">
        <v>14</v>
      </c>
      <c r="E229" t="s">
        <v>54</v>
      </c>
      <c r="F229" t="s">
        <v>25</v>
      </c>
      <c r="G229" s="8">
        <v>45459</v>
      </c>
      <c r="H229" s="8">
        <v>45279</v>
      </c>
      <c r="I229" t="s">
        <v>17</v>
      </c>
      <c r="J229" t="s">
        <v>18</v>
      </c>
      <c r="K229" t="s">
        <v>26</v>
      </c>
      <c r="L229" t="s">
        <v>137</v>
      </c>
      <c r="M229" t="s">
        <v>21</v>
      </c>
      <c r="N229" t="s">
        <v>479</v>
      </c>
      <c r="O229">
        <v>5000</v>
      </c>
    </row>
    <row r="230" spans="1:15" x14ac:dyDescent="0.25">
      <c r="A230" s="9" t="s">
        <v>711</v>
      </c>
      <c r="B230" t="s">
        <v>262</v>
      </c>
      <c r="C230" t="s">
        <v>34</v>
      </c>
      <c r="D230" t="s">
        <v>14</v>
      </c>
      <c r="E230" t="s">
        <v>54</v>
      </c>
      <c r="F230" t="s">
        <v>25</v>
      </c>
      <c r="G230" s="8">
        <v>45460</v>
      </c>
      <c r="H230" s="8">
        <v>45280</v>
      </c>
      <c r="I230" t="s">
        <v>58</v>
      </c>
      <c r="J230" t="s">
        <v>18</v>
      </c>
      <c r="K230" t="s">
        <v>19</v>
      </c>
      <c r="L230" t="s">
        <v>66</v>
      </c>
      <c r="M230" t="s">
        <v>37</v>
      </c>
      <c r="N230" t="s">
        <v>479</v>
      </c>
      <c r="O230">
        <v>5000</v>
      </c>
    </row>
    <row r="231" spans="1:15" x14ac:dyDescent="0.25">
      <c r="A231" s="9" t="s">
        <v>712</v>
      </c>
      <c r="B231" t="s">
        <v>263</v>
      </c>
      <c r="C231" t="s">
        <v>34</v>
      </c>
      <c r="D231" t="s">
        <v>14</v>
      </c>
      <c r="E231" t="s">
        <v>54</v>
      </c>
      <c r="F231" t="s">
        <v>25</v>
      </c>
      <c r="G231" s="8">
        <v>45460</v>
      </c>
      <c r="H231" s="8">
        <v>45280</v>
      </c>
      <c r="I231" t="s">
        <v>58</v>
      </c>
      <c r="J231" t="s">
        <v>18</v>
      </c>
      <c r="K231" t="s">
        <v>44</v>
      </c>
      <c r="L231" t="s">
        <v>20</v>
      </c>
      <c r="M231" t="s">
        <v>21</v>
      </c>
      <c r="N231" t="s">
        <v>479</v>
      </c>
      <c r="O231">
        <v>5000</v>
      </c>
    </row>
    <row r="232" spans="1:15" x14ac:dyDescent="0.25">
      <c r="A232" s="9" t="s">
        <v>713</v>
      </c>
      <c r="B232" t="s">
        <v>264</v>
      </c>
      <c r="C232" t="s">
        <v>34</v>
      </c>
      <c r="D232" t="s">
        <v>14</v>
      </c>
      <c r="E232" t="s">
        <v>54</v>
      </c>
      <c r="F232" t="s">
        <v>25</v>
      </c>
      <c r="G232" s="8">
        <v>45460</v>
      </c>
      <c r="H232" s="8">
        <v>45280</v>
      </c>
      <c r="I232" t="s">
        <v>58</v>
      </c>
      <c r="J232" t="s">
        <v>18</v>
      </c>
      <c r="K232" t="s">
        <v>19</v>
      </c>
      <c r="L232" t="s">
        <v>20</v>
      </c>
      <c r="M232" t="s">
        <v>21</v>
      </c>
      <c r="N232" t="s">
        <v>479</v>
      </c>
      <c r="O232">
        <v>5000</v>
      </c>
    </row>
    <row r="233" spans="1:15" x14ac:dyDescent="0.25">
      <c r="A233" s="9" t="s">
        <v>714</v>
      </c>
      <c r="B233" t="s">
        <v>265</v>
      </c>
      <c r="C233" t="s">
        <v>129</v>
      </c>
      <c r="D233" t="s">
        <v>14</v>
      </c>
      <c r="E233" t="s">
        <v>54</v>
      </c>
      <c r="F233" t="s">
        <v>25</v>
      </c>
      <c r="G233" s="8">
        <v>45460</v>
      </c>
      <c r="H233" s="8">
        <v>45280</v>
      </c>
      <c r="I233" t="s">
        <v>17</v>
      </c>
      <c r="J233" t="s">
        <v>18</v>
      </c>
      <c r="K233" t="s">
        <v>19</v>
      </c>
      <c r="L233" t="s">
        <v>20</v>
      </c>
      <c r="M233" t="s">
        <v>21</v>
      </c>
      <c r="N233" t="s">
        <v>479</v>
      </c>
      <c r="O233">
        <v>5000</v>
      </c>
    </row>
    <row r="234" spans="1:15" x14ac:dyDescent="0.25">
      <c r="A234" s="9" t="s">
        <v>715</v>
      </c>
      <c r="B234" t="s">
        <v>266</v>
      </c>
      <c r="C234" t="s">
        <v>34</v>
      </c>
      <c r="D234" t="s">
        <v>14</v>
      </c>
      <c r="E234" t="s">
        <v>54</v>
      </c>
      <c r="F234" t="s">
        <v>25</v>
      </c>
      <c r="G234" s="8">
        <v>45460</v>
      </c>
      <c r="H234" s="8">
        <v>45280</v>
      </c>
      <c r="I234" t="s">
        <v>17</v>
      </c>
      <c r="J234" t="s">
        <v>18</v>
      </c>
      <c r="K234" t="s">
        <v>44</v>
      </c>
      <c r="L234" t="s">
        <v>694</v>
      </c>
      <c r="M234" t="s">
        <v>40</v>
      </c>
      <c r="N234" t="s">
        <v>479</v>
      </c>
      <c r="O234">
        <v>5000</v>
      </c>
    </row>
    <row r="235" spans="1:15" x14ac:dyDescent="0.25">
      <c r="A235" s="9" t="s">
        <v>716</v>
      </c>
      <c r="B235" t="s">
        <v>267</v>
      </c>
      <c r="C235" t="s">
        <v>34</v>
      </c>
      <c r="D235" t="s">
        <v>14</v>
      </c>
      <c r="E235" t="s">
        <v>54</v>
      </c>
      <c r="F235" t="s">
        <v>25</v>
      </c>
      <c r="G235" s="8">
        <v>45460</v>
      </c>
      <c r="H235" s="8">
        <v>45280</v>
      </c>
      <c r="I235" t="s">
        <v>58</v>
      </c>
      <c r="J235" t="s">
        <v>29</v>
      </c>
      <c r="K235" t="s">
        <v>26</v>
      </c>
      <c r="L235" t="s">
        <v>20</v>
      </c>
      <c r="M235" t="s">
        <v>21</v>
      </c>
      <c r="N235" t="s">
        <v>479</v>
      </c>
      <c r="O235">
        <v>5000</v>
      </c>
    </row>
    <row r="236" spans="1:15" x14ac:dyDescent="0.25">
      <c r="A236" s="9" t="s">
        <v>717</v>
      </c>
      <c r="B236" t="s">
        <v>268</v>
      </c>
      <c r="C236" t="s">
        <v>34</v>
      </c>
      <c r="D236" t="s">
        <v>14</v>
      </c>
      <c r="E236" t="s">
        <v>54</v>
      </c>
      <c r="F236" t="s">
        <v>25</v>
      </c>
      <c r="G236" s="8">
        <v>45460</v>
      </c>
      <c r="H236" s="8">
        <v>45280</v>
      </c>
      <c r="I236" t="s">
        <v>58</v>
      </c>
      <c r="J236" t="s">
        <v>18</v>
      </c>
      <c r="K236" t="s">
        <v>26</v>
      </c>
      <c r="L236" t="s">
        <v>120</v>
      </c>
      <c r="M236" t="s">
        <v>32</v>
      </c>
      <c r="N236" t="s">
        <v>479</v>
      </c>
      <c r="O236">
        <v>5000</v>
      </c>
    </row>
    <row r="237" spans="1:15" x14ac:dyDescent="0.25">
      <c r="A237" s="9" t="s">
        <v>718</v>
      </c>
      <c r="B237" t="s">
        <v>269</v>
      </c>
      <c r="C237" t="s">
        <v>34</v>
      </c>
      <c r="D237" t="s">
        <v>14</v>
      </c>
      <c r="E237" t="s">
        <v>54</v>
      </c>
      <c r="F237" t="s">
        <v>25</v>
      </c>
      <c r="G237" s="8">
        <v>45460</v>
      </c>
      <c r="H237" s="8">
        <v>45280</v>
      </c>
      <c r="I237" t="s">
        <v>58</v>
      </c>
      <c r="J237" t="s">
        <v>18</v>
      </c>
      <c r="K237" t="s">
        <v>26</v>
      </c>
      <c r="L237" t="s">
        <v>137</v>
      </c>
      <c r="M237" t="s">
        <v>21</v>
      </c>
      <c r="N237" t="s">
        <v>479</v>
      </c>
      <c r="O237">
        <v>5000</v>
      </c>
    </row>
    <row r="238" spans="1:15" x14ac:dyDescent="0.25">
      <c r="A238" s="9" t="s">
        <v>719</v>
      </c>
      <c r="B238" t="s">
        <v>270</v>
      </c>
      <c r="C238" t="s">
        <v>34</v>
      </c>
      <c r="D238" t="s">
        <v>14</v>
      </c>
      <c r="E238" t="s">
        <v>54</v>
      </c>
      <c r="F238" t="s">
        <v>25</v>
      </c>
      <c r="G238" s="8">
        <v>45460</v>
      </c>
      <c r="H238" s="8">
        <v>45280</v>
      </c>
      <c r="I238" t="s">
        <v>58</v>
      </c>
      <c r="J238" t="s">
        <v>29</v>
      </c>
      <c r="K238" t="s">
        <v>271</v>
      </c>
      <c r="L238" t="s">
        <v>272</v>
      </c>
      <c r="M238" t="s">
        <v>37</v>
      </c>
      <c r="N238" t="s">
        <v>479</v>
      </c>
      <c r="O238">
        <v>5000</v>
      </c>
    </row>
    <row r="239" spans="1:15" x14ac:dyDescent="0.25">
      <c r="A239" s="9" t="s">
        <v>720</v>
      </c>
      <c r="B239" t="s">
        <v>273</v>
      </c>
      <c r="C239" t="s">
        <v>34</v>
      </c>
      <c r="D239" t="s">
        <v>14</v>
      </c>
      <c r="E239" t="s">
        <v>54</v>
      </c>
      <c r="F239" t="s">
        <v>25</v>
      </c>
      <c r="G239" s="8">
        <v>45460</v>
      </c>
      <c r="H239" s="8">
        <v>45280</v>
      </c>
      <c r="I239" t="s">
        <v>17</v>
      </c>
      <c r="J239" t="s">
        <v>18</v>
      </c>
      <c r="K239" t="s">
        <v>44</v>
      </c>
      <c r="L239" t="s">
        <v>66</v>
      </c>
      <c r="M239" t="s">
        <v>37</v>
      </c>
      <c r="N239" t="s">
        <v>479</v>
      </c>
      <c r="O239">
        <v>5000</v>
      </c>
    </row>
    <row r="240" spans="1:15" x14ac:dyDescent="0.25">
      <c r="A240" s="9" t="s">
        <v>721</v>
      </c>
      <c r="B240" t="s">
        <v>274</v>
      </c>
      <c r="C240" t="s">
        <v>28</v>
      </c>
      <c r="D240" t="s">
        <v>14</v>
      </c>
      <c r="E240" t="s">
        <v>54</v>
      </c>
      <c r="F240" t="s">
        <v>25</v>
      </c>
      <c r="G240" s="8">
        <v>45460</v>
      </c>
      <c r="H240" s="8">
        <v>45280</v>
      </c>
      <c r="I240" t="s">
        <v>58</v>
      </c>
      <c r="J240" t="s">
        <v>29</v>
      </c>
      <c r="K240" t="s">
        <v>44</v>
      </c>
      <c r="L240" t="s">
        <v>20</v>
      </c>
      <c r="M240" t="s">
        <v>21</v>
      </c>
      <c r="N240" t="s">
        <v>479</v>
      </c>
      <c r="O240">
        <v>5000</v>
      </c>
    </row>
    <row r="241" spans="1:15" x14ac:dyDescent="0.25">
      <c r="A241" s="9" t="s">
        <v>722</v>
      </c>
      <c r="B241" t="s">
        <v>275</v>
      </c>
      <c r="C241" t="s">
        <v>34</v>
      </c>
      <c r="D241" t="s">
        <v>14</v>
      </c>
      <c r="E241" t="s">
        <v>54</v>
      </c>
      <c r="F241" t="s">
        <v>25</v>
      </c>
      <c r="G241" s="8">
        <v>45460</v>
      </c>
      <c r="H241" s="8">
        <v>45280</v>
      </c>
      <c r="I241" t="s">
        <v>58</v>
      </c>
      <c r="J241" t="s">
        <v>18</v>
      </c>
      <c r="K241" t="s">
        <v>44</v>
      </c>
      <c r="L241" t="s">
        <v>20</v>
      </c>
      <c r="M241" t="s">
        <v>21</v>
      </c>
      <c r="N241" t="s">
        <v>479</v>
      </c>
      <c r="O241">
        <v>5000</v>
      </c>
    </row>
    <row r="242" spans="1:15" x14ac:dyDescent="0.25">
      <c r="A242" s="9" t="s">
        <v>723</v>
      </c>
      <c r="B242" t="s">
        <v>276</v>
      </c>
      <c r="C242" t="s">
        <v>13</v>
      </c>
      <c r="D242" t="s">
        <v>14</v>
      </c>
      <c r="E242" t="s">
        <v>54</v>
      </c>
      <c r="F242" t="s">
        <v>25</v>
      </c>
      <c r="G242" s="8">
        <v>45460</v>
      </c>
      <c r="H242" s="8">
        <v>45280</v>
      </c>
      <c r="I242" t="s">
        <v>58</v>
      </c>
      <c r="J242" t="s">
        <v>18</v>
      </c>
      <c r="K242" t="s">
        <v>77</v>
      </c>
      <c r="L242" t="s">
        <v>137</v>
      </c>
      <c r="M242" t="s">
        <v>21</v>
      </c>
      <c r="N242" t="s">
        <v>479</v>
      </c>
      <c r="O242">
        <v>5000</v>
      </c>
    </row>
    <row r="243" spans="1:15" x14ac:dyDescent="0.25">
      <c r="A243" s="9" t="s">
        <v>724</v>
      </c>
      <c r="B243" t="s">
        <v>277</v>
      </c>
      <c r="C243" t="s">
        <v>34</v>
      </c>
      <c r="D243" t="s">
        <v>14</v>
      </c>
      <c r="E243" t="s">
        <v>54</v>
      </c>
      <c r="F243" t="s">
        <v>25</v>
      </c>
      <c r="G243" s="8">
        <v>45460</v>
      </c>
      <c r="H243" s="8">
        <v>45280</v>
      </c>
      <c r="I243" t="s">
        <v>17</v>
      </c>
      <c r="J243" t="s">
        <v>18</v>
      </c>
      <c r="K243" t="s">
        <v>19</v>
      </c>
      <c r="L243" t="s">
        <v>66</v>
      </c>
      <c r="M243" t="s">
        <v>37</v>
      </c>
      <c r="N243" t="s">
        <v>479</v>
      </c>
      <c r="O243">
        <v>5000</v>
      </c>
    </row>
    <row r="244" spans="1:15" x14ac:dyDescent="0.25">
      <c r="A244" s="9" t="s">
        <v>725</v>
      </c>
      <c r="B244" t="s">
        <v>278</v>
      </c>
      <c r="C244" t="s">
        <v>34</v>
      </c>
      <c r="D244" t="s">
        <v>14</v>
      </c>
      <c r="E244" t="s">
        <v>54</v>
      </c>
      <c r="F244" t="s">
        <v>25</v>
      </c>
      <c r="G244" s="8">
        <v>45461</v>
      </c>
      <c r="H244" s="8">
        <v>45281</v>
      </c>
      <c r="I244" t="s">
        <v>17</v>
      </c>
      <c r="J244" t="s">
        <v>18</v>
      </c>
      <c r="K244" t="s">
        <v>30</v>
      </c>
      <c r="L244" t="s">
        <v>20</v>
      </c>
      <c r="M244" t="s">
        <v>21</v>
      </c>
      <c r="N244" t="s">
        <v>479</v>
      </c>
      <c r="O244">
        <v>5000</v>
      </c>
    </row>
    <row r="245" spans="1:15" x14ac:dyDescent="0.25">
      <c r="A245" s="9" t="s">
        <v>726</v>
      </c>
      <c r="B245" t="s">
        <v>279</v>
      </c>
      <c r="C245" t="s">
        <v>28</v>
      </c>
      <c r="D245" t="s">
        <v>14</v>
      </c>
      <c r="E245" t="s">
        <v>54</v>
      </c>
      <c r="F245" t="s">
        <v>25</v>
      </c>
      <c r="G245" s="8">
        <v>45461</v>
      </c>
      <c r="H245" s="8">
        <v>45281</v>
      </c>
      <c r="I245" t="s">
        <v>58</v>
      </c>
      <c r="J245" t="s">
        <v>18</v>
      </c>
      <c r="K245" t="s">
        <v>44</v>
      </c>
      <c r="L245" t="s">
        <v>66</v>
      </c>
      <c r="M245" t="s">
        <v>37</v>
      </c>
      <c r="N245" t="s">
        <v>479</v>
      </c>
      <c r="O245">
        <v>5000</v>
      </c>
    </row>
    <row r="246" spans="1:15" x14ac:dyDescent="0.25">
      <c r="A246" s="9" t="s">
        <v>727</v>
      </c>
      <c r="B246" t="s">
        <v>280</v>
      </c>
      <c r="C246" t="s">
        <v>34</v>
      </c>
      <c r="D246" t="s">
        <v>14</v>
      </c>
      <c r="E246" t="s">
        <v>54</v>
      </c>
      <c r="F246" t="s">
        <v>25</v>
      </c>
      <c r="G246" s="8">
        <v>45461</v>
      </c>
      <c r="H246" s="8">
        <v>45281</v>
      </c>
      <c r="I246" t="s">
        <v>58</v>
      </c>
      <c r="J246" t="s">
        <v>18</v>
      </c>
      <c r="K246" t="s">
        <v>30</v>
      </c>
      <c r="L246" t="s">
        <v>66</v>
      </c>
      <c r="M246" t="s">
        <v>37</v>
      </c>
      <c r="N246" t="s">
        <v>479</v>
      </c>
      <c r="O246">
        <v>5000</v>
      </c>
    </row>
    <row r="247" spans="1:15" x14ac:dyDescent="0.25">
      <c r="A247" s="9" t="s">
        <v>728</v>
      </c>
      <c r="B247" t="s">
        <v>281</v>
      </c>
      <c r="C247" t="s">
        <v>34</v>
      </c>
      <c r="D247" t="s">
        <v>14</v>
      </c>
      <c r="E247" t="s">
        <v>54</v>
      </c>
      <c r="F247" t="s">
        <v>25</v>
      </c>
      <c r="G247" s="8">
        <v>45461</v>
      </c>
      <c r="H247" s="8">
        <v>45281</v>
      </c>
      <c r="I247" t="s">
        <v>17</v>
      </c>
      <c r="J247" t="s">
        <v>18</v>
      </c>
      <c r="K247" t="s">
        <v>19</v>
      </c>
      <c r="L247" t="s">
        <v>31</v>
      </c>
      <c r="M247" t="s">
        <v>32</v>
      </c>
      <c r="N247" t="s">
        <v>479</v>
      </c>
      <c r="O247">
        <v>5000</v>
      </c>
    </row>
    <row r="248" spans="1:15" x14ac:dyDescent="0.25">
      <c r="A248" s="9" t="s">
        <v>729</v>
      </c>
      <c r="B248" t="s">
        <v>282</v>
      </c>
      <c r="C248" t="s">
        <v>13</v>
      </c>
      <c r="D248" t="s">
        <v>14</v>
      </c>
      <c r="E248" t="s">
        <v>54</v>
      </c>
      <c r="F248" t="s">
        <v>25</v>
      </c>
      <c r="G248" s="8">
        <v>45461</v>
      </c>
      <c r="H248" s="8">
        <v>45281</v>
      </c>
      <c r="I248" t="s">
        <v>58</v>
      </c>
      <c r="J248" t="s">
        <v>18</v>
      </c>
      <c r="K248" t="s">
        <v>26</v>
      </c>
      <c r="L248" t="s">
        <v>137</v>
      </c>
      <c r="M248" t="s">
        <v>21</v>
      </c>
      <c r="N248" t="s">
        <v>479</v>
      </c>
      <c r="O248">
        <v>5000</v>
      </c>
    </row>
    <row r="249" spans="1:15" x14ac:dyDescent="0.25">
      <c r="A249" s="9" t="s">
        <v>730</v>
      </c>
      <c r="B249" t="s">
        <v>283</v>
      </c>
      <c r="C249" t="s">
        <v>28</v>
      </c>
      <c r="D249" t="s">
        <v>14</v>
      </c>
      <c r="E249" t="s">
        <v>54</v>
      </c>
      <c r="F249" t="s">
        <v>25</v>
      </c>
      <c r="G249" s="8">
        <v>45461</v>
      </c>
      <c r="H249" s="8">
        <v>45281</v>
      </c>
      <c r="I249" t="s">
        <v>58</v>
      </c>
      <c r="J249" t="s">
        <v>18</v>
      </c>
      <c r="K249" t="s">
        <v>19</v>
      </c>
      <c r="L249" t="s">
        <v>83</v>
      </c>
      <c r="M249" t="s">
        <v>37</v>
      </c>
      <c r="N249" t="s">
        <v>479</v>
      </c>
      <c r="O249">
        <v>5000</v>
      </c>
    </row>
    <row r="250" spans="1:15" x14ac:dyDescent="0.25">
      <c r="A250" s="9" t="s">
        <v>731</v>
      </c>
      <c r="B250" t="s">
        <v>284</v>
      </c>
      <c r="C250" t="s">
        <v>34</v>
      </c>
      <c r="D250" t="s">
        <v>14</v>
      </c>
      <c r="E250" t="s">
        <v>54</v>
      </c>
      <c r="F250" t="s">
        <v>25</v>
      </c>
      <c r="G250" s="8">
        <v>45461</v>
      </c>
      <c r="H250" s="8">
        <v>45281</v>
      </c>
      <c r="I250" t="s">
        <v>17</v>
      </c>
      <c r="J250" t="s">
        <v>18</v>
      </c>
      <c r="K250" t="s">
        <v>77</v>
      </c>
      <c r="L250" t="s">
        <v>66</v>
      </c>
      <c r="M250" t="s">
        <v>37</v>
      </c>
      <c r="N250" t="s">
        <v>479</v>
      </c>
      <c r="O250">
        <v>5000</v>
      </c>
    </row>
    <row r="251" spans="1:15" x14ac:dyDescent="0.25">
      <c r="A251" s="9" t="s">
        <v>732</v>
      </c>
      <c r="B251" t="s">
        <v>285</v>
      </c>
      <c r="C251" t="s">
        <v>34</v>
      </c>
      <c r="D251" t="s">
        <v>14</v>
      </c>
      <c r="E251" t="s">
        <v>54</v>
      </c>
      <c r="F251" t="s">
        <v>25</v>
      </c>
      <c r="G251" s="8">
        <v>45461</v>
      </c>
      <c r="H251" s="8">
        <v>45281</v>
      </c>
      <c r="I251" t="s">
        <v>17</v>
      </c>
      <c r="J251" t="s">
        <v>18</v>
      </c>
      <c r="K251" t="s">
        <v>19</v>
      </c>
      <c r="L251" t="s">
        <v>66</v>
      </c>
      <c r="M251" t="s">
        <v>37</v>
      </c>
      <c r="N251" t="s">
        <v>479</v>
      </c>
      <c r="O251">
        <v>5000</v>
      </c>
    </row>
    <row r="252" spans="1:15" x14ac:dyDescent="0.25">
      <c r="A252" s="9" t="s">
        <v>733</v>
      </c>
      <c r="B252" t="s">
        <v>286</v>
      </c>
      <c r="C252" t="s">
        <v>34</v>
      </c>
      <c r="D252" t="s">
        <v>14</v>
      </c>
      <c r="E252" t="s">
        <v>54</v>
      </c>
      <c r="F252" t="s">
        <v>25</v>
      </c>
      <c r="G252" s="8">
        <v>45463</v>
      </c>
      <c r="H252" s="8">
        <v>45283</v>
      </c>
      <c r="I252" t="s">
        <v>58</v>
      </c>
      <c r="J252" t="s">
        <v>18</v>
      </c>
      <c r="K252" t="s">
        <v>26</v>
      </c>
      <c r="L252" t="s">
        <v>83</v>
      </c>
      <c r="M252" t="s">
        <v>37</v>
      </c>
      <c r="N252" t="s">
        <v>479</v>
      </c>
      <c r="O252">
        <v>5000</v>
      </c>
    </row>
    <row r="253" spans="1:15" x14ac:dyDescent="0.25">
      <c r="A253" s="9" t="s">
        <v>734</v>
      </c>
      <c r="B253" t="s">
        <v>287</v>
      </c>
      <c r="C253" t="s">
        <v>34</v>
      </c>
      <c r="D253" t="s">
        <v>14</v>
      </c>
      <c r="E253" t="s">
        <v>54</v>
      </c>
      <c r="F253" t="s">
        <v>25</v>
      </c>
      <c r="G253" s="8">
        <v>45463</v>
      </c>
      <c r="H253" s="8">
        <v>45283</v>
      </c>
      <c r="I253" t="s">
        <v>58</v>
      </c>
      <c r="J253" t="s">
        <v>29</v>
      </c>
      <c r="K253" t="s">
        <v>44</v>
      </c>
      <c r="L253" t="s">
        <v>20</v>
      </c>
      <c r="M253" t="s">
        <v>21</v>
      </c>
      <c r="N253" t="s">
        <v>479</v>
      </c>
      <c r="O253">
        <v>5000</v>
      </c>
    </row>
    <row r="254" spans="1:15" x14ac:dyDescent="0.25">
      <c r="A254" s="9" t="s">
        <v>735</v>
      </c>
      <c r="B254" t="s">
        <v>288</v>
      </c>
      <c r="C254" t="s">
        <v>28</v>
      </c>
      <c r="D254" t="s">
        <v>14</v>
      </c>
      <c r="E254" t="s">
        <v>54</v>
      </c>
      <c r="F254" t="s">
        <v>25</v>
      </c>
      <c r="G254" s="8">
        <v>45463</v>
      </c>
      <c r="H254" s="8">
        <v>45283</v>
      </c>
      <c r="I254" t="s">
        <v>17</v>
      </c>
      <c r="J254" t="s">
        <v>18</v>
      </c>
      <c r="K254" t="s">
        <v>26</v>
      </c>
      <c r="L254" t="s">
        <v>20</v>
      </c>
      <c r="M254" t="s">
        <v>21</v>
      </c>
      <c r="N254" t="s">
        <v>479</v>
      </c>
      <c r="O254">
        <v>5000</v>
      </c>
    </row>
    <row r="255" spans="1:15" x14ac:dyDescent="0.25">
      <c r="A255" s="9" t="s">
        <v>736</v>
      </c>
      <c r="B255" t="s">
        <v>289</v>
      </c>
      <c r="C255" t="s">
        <v>34</v>
      </c>
      <c r="D255" t="s">
        <v>14</v>
      </c>
      <c r="E255" t="s">
        <v>54</v>
      </c>
      <c r="F255" t="s">
        <v>25</v>
      </c>
      <c r="G255" s="8">
        <v>45463</v>
      </c>
      <c r="H255" s="8">
        <v>45283</v>
      </c>
      <c r="I255" t="s">
        <v>17</v>
      </c>
      <c r="J255" t="s">
        <v>29</v>
      </c>
      <c r="K255" t="s">
        <v>26</v>
      </c>
      <c r="L255" t="s">
        <v>20</v>
      </c>
      <c r="M255" t="s">
        <v>21</v>
      </c>
      <c r="N255" t="s">
        <v>479</v>
      </c>
      <c r="O255">
        <v>5000</v>
      </c>
    </row>
    <row r="256" spans="1:15" x14ac:dyDescent="0.25">
      <c r="A256" s="9" t="s">
        <v>737</v>
      </c>
      <c r="B256" t="s">
        <v>290</v>
      </c>
      <c r="C256" t="s">
        <v>13</v>
      </c>
      <c r="D256" t="s">
        <v>14</v>
      </c>
      <c r="E256" t="s">
        <v>54</v>
      </c>
      <c r="F256" t="s">
        <v>25</v>
      </c>
      <c r="G256" s="8">
        <v>45463</v>
      </c>
      <c r="H256" s="8">
        <v>45283</v>
      </c>
      <c r="I256" t="s">
        <v>17</v>
      </c>
      <c r="J256" t="s">
        <v>18</v>
      </c>
      <c r="K256" t="s">
        <v>30</v>
      </c>
      <c r="L256" t="s">
        <v>694</v>
      </c>
      <c r="M256" t="s">
        <v>40</v>
      </c>
      <c r="N256" t="s">
        <v>479</v>
      </c>
      <c r="O256">
        <v>5000</v>
      </c>
    </row>
    <row r="257" spans="1:15" x14ac:dyDescent="0.25">
      <c r="A257" s="9" t="s">
        <v>738</v>
      </c>
      <c r="B257" t="s">
        <v>291</v>
      </c>
      <c r="C257" t="s">
        <v>34</v>
      </c>
      <c r="D257" t="s">
        <v>127</v>
      </c>
      <c r="E257" t="s">
        <v>54</v>
      </c>
      <c r="F257" t="s">
        <v>25</v>
      </c>
      <c r="G257" s="8">
        <v>45463</v>
      </c>
      <c r="H257" s="8">
        <v>45283</v>
      </c>
      <c r="I257" t="s">
        <v>17</v>
      </c>
      <c r="J257" t="s">
        <v>29</v>
      </c>
      <c r="K257" t="s">
        <v>30</v>
      </c>
      <c r="L257" t="s">
        <v>20</v>
      </c>
      <c r="M257" t="s">
        <v>21</v>
      </c>
      <c r="N257" t="s">
        <v>479</v>
      </c>
      <c r="O257">
        <v>5000</v>
      </c>
    </row>
    <row r="258" spans="1:15" x14ac:dyDescent="0.25">
      <c r="A258" s="9" t="s">
        <v>739</v>
      </c>
      <c r="B258" t="s">
        <v>292</v>
      </c>
      <c r="C258" t="s">
        <v>129</v>
      </c>
      <c r="D258" t="s">
        <v>127</v>
      </c>
      <c r="E258" t="s">
        <v>54</v>
      </c>
      <c r="F258" t="s">
        <v>25</v>
      </c>
      <c r="G258" s="8">
        <v>45463</v>
      </c>
      <c r="H258" s="8">
        <v>45283</v>
      </c>
      <c r="I258" t="s">
        <v>17</v>
      </c>
      <c r="J258" t="s">
        <v>18</v>
      </c>
      <c r="K258" t="s">
        <v>30</v>
      </c>
      <c r="L258" t="s">
        <v>20</v>
      </c>
      <c r="M258" t="s">
        <v>21</v>
      </c>
      <c r="N258" t="s">
        <v>479</v>
      </c>
      <c r="O258">
        <v>5000</v>
      </c>
    </row>
    <row r="259" spans="1:15" x14ac:dyDescent="0.25">
      <c r="A259" s="9" t="s">
        <v>740</v>
      </c>
      <c r="B259" t="s">
        <v>293</v>
      </c>
      <c r="C259" t="s">
        <v>34</v>
      </c>
      <c r="D259" t="s">
        <v>14</v>
      </c>
      <c r="E259" t="s">
        <v>54</v>
      </c>
      <c r="F259" t="s">
        <v>25</v>
      </c>
      <c r="G259" s="8">
        <v>45463</v>
      </c>
      <c r="H259" s="8">
        <v>45283</v>
      </c>
      <c r="I259" t="s">
        <v>17</v>
      </c>
      <c r="J259" t="s">
        <v>18</v>
      </c>
      <c r="K259" t="s">
        <v>30</v>
      </c>
      <c r="L259" t="s">
        <v>137</v>
      </c>
      <c r="M259" t="s">
        <v>21</v>
      </c>
      <c r="N259" t="s">
        <v>479</v>
      </c>
      <c r="O259">
        <v>5000</v>
      </c>
    </row>
    <row r="260" spans="1:15" x14ac:dyDescent="0.25">
      <c r="A260" s="9" t="s">
        <v>741</v>
      </c>
      <c r="B260" t="s">
        <v>294</v>
      </c>
      <c r="C260" t="s">
        <v>34</v>
      </c>
      <c r="D260" t="s">
        <v>14</v>
      </c>
      <c r="E260" t="s">
        <v>54</v>
      </c>
      <c r="F260" t="s">
        <v>25</v>
      </c>
      <c r="G260" s="8">
        <v>45463</v>
      </c>
      <c r="H260" s="8">
        <v>45283</v>
      </c>
      <c r="I260" t="s">
        <v>17</v>
      </c>
      <c r="J260" t="s">
        <v>18</v>
      </c>
      <c r="K260" t="s">
        <v>19</v>
      </c>
      <c r="L260" t="s">
        <v>20</v>
      </c>
      <c r="M260" t="s">
        <v>21</v>
      </c>
      <c r="N260" t="s">
        <v>479</v>
      </c>
      <c r="O260">
        <v>5000</v>
      </c>
    </row>
    <row r="261" spans="1:15" x14ac:dyDescent="0.25">
      <c r="A261" s="9" t="s">
        <v>742</v>
      </c>
      <c r="B261" t="s">
        <v>295</v>
      </c>
      <c r="C261" t="s">
        <v>28</v>
      </c>
      <c r="D261" t="s">
        <v>14</v>
      </c>
      <c r="E261" t="s">
        <v>54</v>
      </c>
      <c r="F261" t="s">
        <v>25</v>
      </c>
      <c r="G261" s="8">
        <v>45463</v>
      </c>
      <c r="H261" s="8">
        <v>45283</v>
      </c>
      <c r="I261" t="s">
        <v>17</v>
      </c>
      <c r="J261" t="s">
        <v>18</v>
      </c>
      <c r="K261" t="s">
        <v>19</v>
      </c>
      <c r="L261" t="s">
        <v>50</v>
      </c>
      <c r="M261" t="s">
        <v>32</v>
      </c>
      <c r="N261" t="s">
        <v>479</v>
      </c>
      <c r="O261">
        <v>5000</v>
      </c>
    </row>
    <row r="262" spans="1:15" x14ac:dyDescent="0.25">
      <c r="A262" s="9" t="s">
        <v>743</v>
      </c>
      <c r="B262" t="s">
        <v>296</v>
      </c>
      <c r="C262" t="s">
        <v>28</v>
      </c>
      <c r="D262" t="s">
        <v>14</v>
      </c>
      <c r="E262" t="s">
        <v>54</v>
      </c>
      <c r="F262" t="s">
        <v>25</v>
      </c>
      <c r="G262" s="8">
        <v>45463</v>
      </c>
      <c r="H262" s="8">
        <v>45283</v>
      </c>
      <c r="I262" t="s">
        <v>17</v>
      </c>
      <c r="J262" t="s">
        <v>18</v>
      </c>
      <c r="K262" t="s">
        <v>44</v>
      </c>
      <c r="L262" t="s">
        <v>20</v>
      </c>
      <c r="M262" t="s">
        <v>21</v>
      </c>
      <c r="N262" t="s">
        <v>479</v>
      </c>
      <c r="O262">
        <v>5000</v>
      </c>
    </row>
    <row r="263" spans="1:15" x14ac:dyDescent="0.25">
      <c r="A263" s="9" t="s">
        <v>744</v>
      </c>
      <c r="B263" t="s">
        <v>297</v>
      </c>
      <c r="C263" t="s">
        <v>34</v>
      </c>
      <c r="D263" t="s">
        <v>14</v>
      </c>
      <c r="E263" t="s">
        <v>54</v>
      </c>
      <c r="F263" t="s">
        <v>25</v>
      </c>
      <c r="G263" s="8">
        <v>45464</v>
      </c>
      <c r="H263" s="8">
        <v>45284</v>
      </c>
      <c r="I263" t="s">
        <v>58</v>
      </c>
      <c r="J263" t="s">
        <v>29</v>
      </c>
      <c r="K263" t="s">
        <v>19</v>
      </c>
      <c r="L263" t="s">
        <v>66</v>
      </c>
      <c r="M263" t="s">
        <v>37</v>
      </c>
      <c r="N263" t="s">
        <v>479</v>
      </c>
      <c r="O263">
        <v>27000</v>
      </c>
    </row>
    <row r="264" spans="1:15" x14ac:dyDescent="0.25">
      <c r="A264" s="9" t="s">
        <v>745</v>
      </c>
      <c r="B264" t="s">
        <v>298</v>
      </c>
      <c r="C264" t="s">
        <v>28</v>
      </c>
      <c r="D264" t="s">
        <v>14</v>
      </c>
      <c r="E264" t="s">
        <v>54</v>
      </c>
      <c r="F264" t="s">
        <v>25</v>
      </c>
      <c r="G264" s="8">
        <v>45464</v>
      </c>
      <c r="H264" s="8">
        <v>45284</v>
      </c>
      <c r="I264" t="s">
        <v>17</v>
      </c>
      <c r="J264" t="s">
        <v>18</v>
      </c>
      <c r="K264" t="s">
        <v>30</v>
      </c>
      <c r="L264" t="s">
        <v>140</v>
      </c>
      <c r="M264" t="s">
        <v>37</v>
      </c>
      <c r="N264" t="s">
        <v>479</v>
      </c>
      <c r="O264">
        <v>27000</v>
      </c>
    </row>
    <row r="265" spans="1:15" x14ac:dyDescent="0.25">
      <c r="A265" s="9" t="s">
        <v>746</v>
      </c>
      <c r="B265" t="s">
        <v>299</v>
      </c>
      <c r="C265" t="s">
        <v>129</v>
      </c>
      <c r="D265" t="s">
        <v>14</v>
      </c>
      <c r="E265" t="s">
        <v>54</v>
      </c>
      <c r="F265" t="s">
        <v>25</v>
      </c>
      <c r="G265" s="8">
        <v>45464</v>
      </c>
      <c r="H265" s="8">
        <v>45284</v>
      </c>
      <c r="I265" t="s">
        <v>17</v>
      </c>
      <c r="J265" t="s">
        <v>18</v>
      </c>
      <c r="K265" t="s">
        <v>19</v>
      </c>
      <c r="L265" t="s">
        <v>20</v>
      </c>
      <c r="M265" t="s">
        <v>21</v>
      </c>
      <c r="N265" t="s">
        <v>479</v>
      </c>
      <c r="O265">
        <v>27000</v>
      </c>
    </row>
    <row r="266" spans="1:15" x14ac:dyDescent="0.25">
      <c r="A266" s="9" t="s">
        <v>747</v>
      </c>
      <c r="B266" t="s">
        <v>300</v>
      </c>
      <c r="C266" t="s">
        <v>34</v>
      </c>
      <c r="D266" t="s">
        <v>14</v>
      </c>
      <c r="E266" t="s">
        <v>54</v>
      </c>
      <c r="F266" t="s">
        <v>25</v>
      </c>
      <c r="G266" s="8">
        <v>45464</v>
      </c>
      <c r="H266" s="8">
        <v>45284</v>
      </c>
      <c r="I266" t="s">
        <v>17</v>
      </c>
      <c r="J266" t="s">
        <v>18</v>
      </c>
      <c r="K266" t="s">
        <v>26</v>
      </c>
      <c r="L266" t="s">
        <v>66</v>
      </c>
      <c r="M266" t="s">
        <v>37</v>
      </c>
      <c r="N266" t="s">
        <v>479</v>
      </c>
      <c r="O266">
        <v>27000</v>
      </c>
    </row>
    <row r="267" spans="1:15" x14ac:dyDescent="0.25">
      <c r="A267" s="9" t="s">
        <v>748</v>
      </c>
      <c r="B267" t="s">
        <v>301</v>
      </c>
      <c r="C267" t="s">
        <v>34</v>
      </c>
      <c r="D267" t="s">
        <v>14</v>
      </c>
      <c r="E267" t="s">
        <v>54</v>
      </c>
      <c r="F267" t="s">
        <v>25</v>
      </c>
      <c r="G267" s="8">
        <v>45464</v>
      </c>
      <c r="H267" s="8">
        <v>45284</v>
      </c>
      <c r="I267" t="s">
        <v>17</v>
      </c>
      <c r="J267" t="s">
        <v>29</v>
      </c>
      <c r="K267" t="s">
        <v>30</v>
      </c>
      <c r="L267" t="s">
        <v>83</v>
      </c>
      <c r="M267" t="s">
        <v>37</v>
      </c>
      <c r="N267" t="s">
        <v>479</v>
      </c>
      <c r="O267">
        <v>27000</v>
      </c>
    </row>
    <row r="268" spans="1:15" x14ac:dyDescent="0.25">
      <c r="A268" s="9" t="s">
        <v>749</v>
      </c>
      <c r="B268" t="s">
        <v>302</v>
      </c>
      <c r="C268" t="s">
        <v>895</v>
      </c>
      <c r="D268" t="s">
        <v>14</v>
      </c>
      <c r="E268" t="s">
        <v>54</v>
      </c>
      <c r="F268" t="s">
        <v>25</v>
      </c>
      <c r="G268" s="8">
        <v>45466</v>
      </c>
      <c r="H268" s="8">
        <v>45286</v>
      </c>
      <c r="I268" t="s">
        <v>17</v>
      </c>
      <c r="J268" t="s">
        <v>18</v>
      </c>
      <c r="K268" t="s">
        <v>19</v>
      </c>
      <c r="L268" t="s">
        <v>303</v>
      </c>
      <c r="M268" t="s">
        <v>37</v>
      </c>
      <c r="N268" t="s">
        <v>479</v>
      </c>
      <c r="O268">
        <v>27000</v>
      </c>
    </row>
    <row r="269" spans="1:15" x14ac:dyDescent="0.25">
      <c r="A269" s="9" t="s">
        <v>750</v>
      </c>
      <c r="B269" t="s">
        <v>304</v>
      </c>
      <c r="C269" t="s">
        <v>13</v>
      </c>
      <c r="D269" t="s">
        <v>14</v>
      </c>
      <c r="E269" t="s">
        <v>54</v>
      </c>
      <c r="F269" t="s">
        <v>25</v>
      </c>
      <c r="G269" s="8">
        <v>45466</v>
      </c>
      <c r="H269" s="8">
        <v>45286</v>
      </c>
      <c r="I269" t="s">
        <v>17</v>
      </c>
      <c r="J269" t="s">
        <v>18</v>
      </c>
      <c r="K269" t="s">
        <v>30</v>
      </c>
      <c r="L269" t="s">
        <v>20</v>
      </c>
      <c r="M269" t="s">
        <v>21</v>
      </c>
      <c r="N269" t="s">
        <v>479</v>
      </c>
      <c r="O269">
        <v>27000</v>
      </c>
    </row>
    <row r="270" spans="1:15" x14ac:dyDescent="0.25">
      <c r="A270" s="9" t="s">
        <v>751</v>
      </c>
      <c r="B270" t="s">
        <v>305</v>
      </c>
      <c r="C270" t="s">
        <v>13</v>
      </c>
      <c r="D270" t="s">
        <v>14</v>
      </c>
      <c r="E270" t="s">
        <v>54</v>
      </c>
      <c r="F270" t="s">
        <v>25</v>
      </c>
      <c r="G270" s="8">
        <v>45466</v>
      </c>
      <c r="H270" s="8">
        <v>45286</v>
      </c>
      <c r="I270" t="s">
        <v>17</v>
      </c>
      <c r="J270" t="s">
        <v>18</v>
      </c>
      <c r="K270" t="s">
        <v>26</v>
      </c>
      <c r="L270" t="s">
        <v>20</v>
      </c>
      <c r="M270" t="s">
        <v>21</v>
      </c>
      <c r="N270" t="s">
        <v>479</v>
      </c>
      <c r="O270">
        <v>27000</v>
      </c>
    </row>
    <row r="271" spans="1:15" x14ac:dyDescent="0.25">
      <c r="A271" s="9" t="s">
        <v>752</v>
      </c>
      <c r="B271" t="s">
        <v>306</v>
      </c>
      <c r="C271" t="s">
        <v>28</v>
      </c>
      <c r="D271" t="s">
        <v>125</v>
      </c>
      <c r="E271" t="s">
        <v>54</v>
      </c>
      <c r="F271" t="s">
        <v>25</v>
      </c>
      <c r="G271" s="8">
        <v>45466</v>
      </c>
      <c r="H271" s="8">
        <v>45286</v>
      </c>
      <c r="I271" t="s">
        <v>17</v>
      </c>
      <c r="J271" t="s">
        <v>18</v>
      </c>
      <c r="K271" t="s">
        <v>26</v>
      </c>
      <c r="L271" t="s">
        <v>20</v>
      </c>
      <c r="M271" t="s">
        <v>21</v>
      </c>
      <c r="N271" t="s">
        <v>479</v>
      </c>
      <c r="O271">
        <v>27000</v>
      </c>
    </row>
    <row r="272" spans="1:15" x14ac:dyDescent="0.25">
      <c r="A272" s="9" t="s">
        <v>753</v>
      </c>
      <c r="B272" t="s">
        <v>307</v>
      </c>
      <c r="C272" t="s">
        <v>34</v>
      </c>
      <c r="D272" t="s">
        <v>14</v>
      </c>
      <c r="E272" t="s">
        <v>54</v>
      </c>
      <c r="F272" t="s">
        <v>25</v>
      </c>
      <c r="G272" s="8">
        <v>45466</v>
      </c>
      <c r="H272" s="8">
        <v>45286</v>
      </c>
      <c r="I272" t="s">
        <v>17</v>
      </c>
      <c r="J272" t="s">
        <v>18</v>
      </c>
      <c r="K272" t="s">
        <v>19</v>
      </c>
      <c r="L272" t="s">
        <v>20</v>
      </c>
      <c r="M272" t="s">
        <v>21</v>
      </c>
      <c r="N272" t="s">
        <v>479</v>
      </c>
      <c r="O272">
        <v>27000</v>
      </c>
    </row>
    <row r="273" spans="1:15" x14ac:dyDescent="0.25">
      <c r="A273" s="9" t="s">
        <v>754</v>
      </c>
      <c r="B273" t="s">
        <v>121</v>
      </c>
      <c r="C273" t="s">
        <v>28</v>
      </c>
      <c r="D273" t="s">
        <v>127</v>
      </c>
      <c r="E273" t="s">
        <v>54</v>
      </c>
      <c r="F273" t="s">
        <v>25</v>
      </c>
      <c r="G273" s="8">
        <v>45466</v>
      </c>
      <c r="H273" s="8">
        <v>45286</v>
      </c>
      <c r="I273" t="s">
        <v>17</v>
      </c>
      <c r="J273" t="s">
        <v>18</v>
      </c>
      <c r="K273" t="s">
        <v>30</v>
      </c>
      <c r="L273" t="s">
        <v>20</v>
      </c>
      <c r="M273" t="s">
        <v>21</v>
      </c>
      <c r="N273" t="s">
        <v>479</v>
      </c>
      <c r="O273">
        <v>27000</v>
      </c>
    </row>
    <row r="274" spans="1:15" x14ac:dyDescent="0.25">
      <c r="A274" s="9" t="s">
        <v>755</v>
      </c>
      <c r="B274" t="s">
        <v>308</v>
      </c>
      <c r="C274" t="s">
        <v>28</v>
      </c>
      <c r="D274" t="s">
        <v>14</v>
      </c>
      <c r="E274" t="s">
        <v>54</v>
      </c>
      <c r="F274" t="s">
        <v>25</v>
      </c>
      <c r="G274" s="8">
        <v>45466</v>
      </c>
      <c r="H274" s="8">
        <v>45286</v>
      </c>
      <c r="I274" t="s">
        <v>58</v>
      </c>
      <c r="J274" t="s">
        <v>18</v>
      </c>
      <c r="K274" t="s">
        <v>19</v>
      </c>
      <c r="L274" t="s">
        <v>20</v>
      </c>
      <c r="M274" t="s">
        <v>21</v>
      </c>
      <c r="N274" t="s">
        <v>479</v>
      </c>
      <c r="O274">
        <v>27000</v>
      </c>
    </row>
    <row r="275" spans="1:15" x14ac:dyDescent="0.25">
      <c r="A275" s="9" t="s">
        <v>756</v>
      </c>
      <c r="B275" t="s">
        <v>309</v>
      </c>
      <c r="C275" t="s">
        <v>13</v>
      </c>
      <c r="D275" t="s">
        <v>14</v>
      </c>
      <c r="E275" t="s">
        <v>54</v>
      </c>
      <c r="F275" t="s">
        <v>25</v>
      </c>
      <c r="G275" s="8">
        <v>45466</v>
      </c>
      <c r="H275" s="8">
        <v>45286</v>
      </c>
      <c r="I275" t="s">
        <v>58</v>
      </c>
      <c r="J275" t="s">
        <v>18</v>
      </c>
      <c r="K275" t="s">
        <v>19</v>
      </c>
      <c r="L275" t="s">
        <v>20</v>
      </c>
      <c r="M275" t="s">
        <v>21</v>
      </c>
      <c r="N275" t="s">
        <v>479</v>
      </c>
      <c r="O275">
        <v>27000</v>
      </c>
    </row>
    <row r="276" spans="1:15" x14ac:dyDescent="0.25">
      <c r="A276" s="9" t="s">
        <v>757</v>
      </c>
      <c r="B276" t="s">
        <v>310</v>
      </c>
      <c r="C276" t="s">
        <v>34</v>
      </c>
      <c r="D276" t="s">
        <v>14</v>
      </c>
      <c r="E276" t="s">
        <v>54</v>
      </c>
      <c r="F276" t="s">
        <v>25</v>
      </c>
      <c r="G276" s="8">
        <v>45466</v>
      </c>
      <c r="H276" s="8">
        <v>45286</v>
      </c>
      <c r="I276" t="s">
        <v>58</v>
      </c>
      <c r="J276" t="s">
        <v>18</v>
      </c>
      <c r="K276" t="s">
        <v>19</v>
      </c>
      <c r="L276" t="s">
        <v>20</v>
      </c>
      <c r="M276" t="s">
        <v>21</v>
      </c>
      <c r="N276" t="s">
        <v>479</v>
      </c>
      <c r="O276">
        <v>27000</v>
      </c>
    </row>
    <row r="277" spans="1:15" x14ac:dyDescent="0.25">
      <c r="A277" s="9" t="s">
        <v>758</v>
      </c>
      <c r="B277" t="s">
        <v>311</v>
      </c>
      <c r="C277" t="s">
        <v>34</v>
      </c>
      <c r="D277" t="s">
        <v>14</v>
      </c>
      <c r="E277" t="s">
        <v>54</v>
      </c>
      <c r="F277" t="s">
        <v>25</v>
      </c>
      <c r="G277" s="8">
        <v>45466</v>
      </c>
      <c r="H277" s="8">
        <v>45286</v>
      </c>
      <c r="I277" t="s">
        <v>58</v>
      </c>
      <c r="J277" t="s">
        <v>18</v>
      </c>
      <c r="K277" t="s">
        <v>30</v>
      </c>
      <c r="L277" t="s">
        <v>20</v>
      </c>
      <c r="M277" t="s">
        <v>21</v>
      </c>
      <c r="N277" t="s">
        <v>479</v>
      </c>
      <c r="O277">
        <v>27000</v>
      </c>
    </row>
    <row r="278" spans="1:15" x14ac:dyDescent="0.25">
      <c r="A278" s="9" t="s">
        <v>759</v>
      </c>
      <c r="B278" t="s">
        <v>312</v>
      </c>
      <c r="C278" t="s">
        <v>28</v>
      </c>
      <c r="D278" t="s">
        <v>14</v>
      </c>
      <c r="E278" t="s">
        <v>54</v>
      </c>
      <c r="F278" t="s">
        <v>25</v>
      </c>
      <c r="G278" s="8">
        <v>45466</v>
      </c>
      <c r="H278" s="8">
        <v>45286</v>
      </c>
      <c r="I278" t="s">
        <v>58</v>
      </c>
      <c r="J278" t="s">
        <v>18</v>
      </c>
      <c r="K278" t="s">
        <v>26</v>
      </c>
      <c r="L278" t="s">
        <v>20</v>
      </c>
      <c r="M278" t="s">
        <v>21</v>
      </c>
      <c r="N278" t="s">
        <v>479</v>
      </c>
      <c r="O278">
        <v>27000</v>
      </c>
    </row>
    <row r="279" spans="1:15" x14ac:dyDescent="0.25">
      <c r="A279" s="9" t="s">
        <v>760</v>
      </c>
      <c r="B279" t="s">
        <v>313</v>
      </c>
      <c r="C279" t="s">
        <v>28</v>
      </c>
      <c r="D279" t="s">
        <v>14</v>
      </c>
      <c r="E279" t="s">
        <v>54</v>
      </c>
      <c r="F279" t="s">
        <v>25</v>
      </c>
      <c r="G279" s="8">
        <v>45466</v>
      </c>
      <c r="H279" s="8">
        <v>45286</v>
      </c>
      <c r="I279" t="s">
        <v>58</v>
      </c>
      <c r="J279" t="s">
        <v>18</v>
      </c>
      <c r="K279" t="s">
        <v>19</v>
      </c>
      <c r="L279" t="s">
        <v>20</v>
      </c>
      <c r="M279" t="s">
        <v>21</v>
      </c>
      <c r="N279" t="s">
        <v>479</v>
      </c>
      <c r="O279">
        <v>27000</v>
      </c>
    </row>
    <row r="280" spans="1:15" x14ac:dyDescent="0.25">
      <c r="A280" s="9" t="s">
        <v>761</v>
      </c>
      <c r="B280" t="s">
        <v>314</v>
      </c>
      <c r="C280" t="s">
        <v>23</v>
      </c>
      <c r="D280" t="s">
        <v>14</v>
      </c>
      <c r="E280" t="s">
        <v>54</v>
      </c>
      <c r="F280" t="s">
        <v>25</v>
      </c>
      <c r="G280" s="8">
        <v>45466</v>
      </c>
      <c r="H280" s="8">
        <v>45286</v>
      </c>
      <c r="I280" t="s">
        <v>58</v>
      </c>
      <c r="J280" t="s">
        <v>18</v>
      </c>
      <c r="K280" t="s">
        <v>92</v>
      </c>
      <c r="L280" t="s">
        <v>20</v>
      </c>
      <c r="M280" t="s">
        <v>21</v>
      </c>
      <c r="N280" t="s">
        <v>479</v>
      </c>
      <c r="O280">
        <v>27000</v>
      </c>
    </row>
    <row r="281" spans="1:15" x14ac:dyDescent="0.25">
      <c r="A281" s="9" t="s">
        <v>762</v>
      </c>
      <c r="B281" t="s">
        <v>315</v>
      </c>
      <c r="C281" t="s">
        <v>28</v>
      </c>
      <c r="D281" t="s">
        <v>14</v>
      </c>
      <c r="E281" t="s">
        <v>54</v>
      </c>
      <c r="F281" t="s">
        <v>25</v>
      </c>
      <c r="G281" s="8">
        <v>45466</v>
      </c>
      <c r="H281" s="8">
        <v>45286</v>
      </c>
      <c r="I281" t="s">
        <v>17</v>
      </c>
      <c r="J281" t="s">
        <v>18</v>
      </c>
      <c r="K281" t="s">
        <v>30</v>
      </c>
      <c r="L281" t="s">
        <v>20</v>
      </c>
      <c r="M281" t="s">
        <v>21</v>
      </c>
      <c r="N281" t="s">
        <v>479</v>
      </c>
      <c r="O281">
        <v>27000</v>
      </c>
    </row>
    <row r="282" spans="1:15" x14ac:dyDescent="0.25">
      <c r="A282" s="9" t="s">
        <v>763</v>
      </c>
      <c r="B282" t="s">
        <v>316</v>
      </c>
      <c r="C282" t="s">
        <v>34</v>
      </c>
      <c r="D282" t="s">
        <v>127</v>
      </c>
      <c r="E282" t="s">
        <v>54</v>
      </c>
      <c r="F282" t="s">
        <v>25</v>
      </c>
      <c r="G282" s="8">
        <v>45466</v>
      </c>
      <c r="H282" s="8">
        <v>45286</v>
      </c>
      <c r="I282" t="s">
        <v>58</v>
      </c>
      <c r="J282" t="s">
        <v>18</v>
      </c>
      <c r="K282" t="s">
        <v>30</v>
      </c>
      <c r="L282" t="s">
        <v>20</v>
      </c>
      <c r="M282" t="s">
        <v>21</v>
      </c>
      <c r="N282" t="s">
        <v>479</v>
      </c>
      <c r="O282">
        <v>27000</v>
      </c>
    </row>
    <row r="283" spans="1:15" x14ac:dyDescent="0.25">
      <c r="A283" s="9" t="s">
        <v>764</v>
      </c>
      <c r="B283" t="s">
        <v>170</v>
      </c>
      <c r="C283" t="s">
        <v>34</v>
      </c>
      <c r="D283" t="s">
        <v>14</v>
      </c>
      <c r="E283" t="s">
        <v>54</v>
      </c>
      <c r="F283" t="s">
        <v>25</v>
      </c>
      <c r="G283" s="8">
        <v>45466</v>
      </c>
      <c r="H283" s="8">
        <v>45286</v>
      </c>
      <c r="I283" t="s">
        <v>17</v>
      </c>
      <c r="J283" t="s">
        <v>18</v>
      </c>
      <c r="K283" t="s">
        <v>26</v>
      </c>
      <c r="L283" t="s">
        <v>66</v>
      </c>
      <c r="M283" t="s">
        <v>37</v>
      </c>
      <c r="N283" t="s">
        <v>479</v>
      </c>
      <c r="O283">
        <v>27000</v>
      </c>
    </row>
    <row r="284" spans="1:15" x14ac:dyDescent="0.25">
      <c r="A284" s="9" t="s">
        <v>765</v>
      </c>
      <c r="B284" t="s">
        <v>317</v>
      </c>
      <c r="C284" t="s">
        <v>28</v>
      </c>
      <c r="D284" t="s">
        <v>14</v>
      </c>
      <c r="E284" t="s">
        <v>54</v>
      </c>
      <c r="F284" t="s">
        <v>25</v>
      </c>
      <c r="G284" s="8">
        <v>45466</v>
      </c>
      <c r="H284" s="8">
        <v>45286</v>
      </c>
      <c r="I284" t="s">
        <v>17</v>
      </c>
      <c r="J284" t="s">
        <v>18</v>
      </c>
      <c r="K284" t="s">
        <v>19</v>
      </c>
      <c r="L284" t="s">
        <v>66</v>
      </c>
      <c r="M284" t="s">
        <v>37</v>
      </c>
      <c r="N284" t="s">
        <v>479</v>
      </c>
      <c r="O284">
        <v>27000</v>
      </c>
    </row>
    <row r="285" spans="1:15" x14ac:dyDescent="0.25">
      <c r="A285" s="9" t="s">
        <v>766</v>
      </c>
      <c r="B285" t="s">
        <v>318</v>
      </c>
      <c r="C285" t="s">
        <v>129</v>
      </c>
      <c r="D285" t="s">
        <v>14</v>
      </c>
      <c r="E285" t="s">
        <v>54</v>
      </c>
      <c r="F285" t="s">
        <v>25</v>
      </c>
      <c r="G285" s="8">
        <v>45467</v>
      </c>
      <c r="H285" s="8">
        <v>45287</v>
      </c>
      <c r="I285" t="s">
        <v>17</v>
      </c>
      <c r="J285" t="s">
        <v>18</v>
      </c>
      <c r="K285" t="s">
        <v>96</v>
      </c>
      <c r="L285" t="s">
        <v>20</v>
      </c>
      <c r="M285" t="s">
        <v>21</v>
      </c>
      <c r="N285" t="s">
        <v>479</v>
      </c>
      <c r="O285">
        <v>27000</v>
      </c>
    </row>
    <row r="286" spans="1:15" x14ac:dyDescent="0.25">
      <c r="A286" s="9" t="s">
        <v>767</v>
      </c>
      <c r="B286" t="s">
        <v>319</v>
      </c>
      <c r="C286" t="s">
        <v>13</v>
      </c>
      <c r="D286" t="s">
        <v>14</v>
      </c>
      <c r="E286" t="s">
        <v>54</v>
      </c>
      <c r="F286" t="s">
        <v>25</v>
      </c>
      <c r="G286" s="8">
        <v>45467</v>
      </c>
      <c r="H286" s="8">
        <v>45287</v>
      </c>
      <c r="I286" t="s">
        <v>17</v>
      </c>
      <c r="J286" t="s">
        <v>18</v>
      </c>
      <c r="K286" t="s">
        <v>77</v>
      </c>
      <c r="L286" t="s">
        <v>600</v>
      </c>
      <c r="M286" t="s">
        <v>37</v>
      </c>
      <c r="N286" t="s">
        <v>479</v>
      </c>
      <c r="O286">
        <v>27000</v>
      </c>
    </row>
    <row r="287" spans="1:15" x14ac:dyDescent="0.25">
      <c r="A287" s="9" t="s">
        <v>768</v>
      </c>
      <c r="B287" t="s">
        <v>320</v>
      </c>
      <c r="C287" t="s">
        <v>13</v>
      </c>
      <c r="D287" t="s">
        <v>14</v>
      </c>
      <c r="E287" t="s">
        <v>54</v>
      </c>
      <c r="F287" t="s">
        <v>25</v>
      </c>
      <c r="G287" s="8">
        <v>45467</v>
      </c>
      <c r="H287" s="8">
        <v>45287</v>
      </c>
      <c r="I287" t="s">
        <v>58</v>
      </c>
      <c r="J287" t="s">
        <v>18</v>
      </c>
      <c r="K287" t="s">
        <v>30</v>
      </c>
      <c r="L287" t="s">
        <v>137</v>
      </c>
      <c r="M287" t="s">
        <v>21</v>
      </c>
      <c r="N287" t="s">
        <v>479</v>
      </c>
      <c r="O287">
        <v>27000</v>
      </c>
    </row>
    <row r="288" spans="1:15" x14ac:dyDescent="0.25">
      <c r="A288" s="9" t="s">
        <v>769</v>
      </c>
      <c r="B288" t="s">
        <v>321</v>
      </c>
      <c r="C288" t="s">
        <v>28</v>
      </c>
      <c r="D288" t="s">
        <v>14</v>
      </c>
      <c r="E288" t="s">
        <v>54</v>
      </c>
      <c r="F288" t="s">
        <v>25</v>
      </c>
      <c r="G288" s="8">
        <v>45470</v>
      </c>
      <c r="H288" s="8">
        <v>45290</v>
      </c>
      <c r="I288" t="s">
        <v>58</v>
      </c>
      <c r="J288" t="s">
        <v>18</v>
      </c>
      <c r="K288" t="s">
        <v>26</v>
      </c>
      <c r="L288" t="s">
        <v>78</v>
      </c>
      <c r="M288" t="s">
        <v>37</v>
      </c>
      <c r="N288" t="s">
        <v>479</v>
      </c>
      <c r="O288">
        <v>30000</v>
      </c>
    </row>
    <row r="289" spans="1:15" x14ac:dyDescent="0.25">
      <c r="A289" s="9" t="s">
        <v>770</v>
      </c>
      <c r="B289" t="s">
        <v>322</v>
      </c>
      <c r="C289" t="s">
        <v>13</v>
      </c>
      <c r="D289" t="s">
        <v>14</v>
      </c>
      <c r="E289" t="s">
        <v>54</v>
      </c>
      <c r="F289" t="s">
        <v>25</v>
      </c>
      <c r="G289" s="8">
        <v>45470</v>
      </c>
      <c r="H289" s="8">
        <v>45290</v>
      </c>
      <c r="I289" t="s">
        <v>17</v>
      </c>
      <c r="J289" t="s">
        <v>18</v>
      </c>
      <c r="K289" t="s">
        <v>44</v>
      </c>
      <c r="L289" t="s">
        <v>66</v>
      </c>
      <c r="M289" t="s">
        <v>37</v>
      </c>
      <c r="N289" t="s">
        <v>479</v>
      </c>
      <c r="O289">
        <v>30000</v>
      </c>
    </row>
    <row r="290" spans="1:15" x14ac:dyDescent="0.25">
      <c r="A290" s="9" t="s">
        <v>771</v>
      </c>
      <c r="B290" t="s">
        <v>323</v>
      </c>
      <c r="C290" t="s">
        <v>34</v>
      </c>
      <c r="D290" t="s">
        <v>14</v>
      </c>
      <c r="E290" t="s">
        <v>54</v>
      </c>
      <c r="F290" t="s">
        <v>25</v>
      </c>
      <c r="G290" s="8">
        <v>45470</v>
      </c>
      <c r="H290" s="8">
        <v>45290</v>
      </c>
      <c r="I290" t="s">
        <v>17</v>
      </c>
      <c r="J290" t="s">
        <v>18</v>
      </c>
      <c r="K290" t="s">
        <v>44</v>
      </c>
      <c r="L290" t="s">
        <v>20</v>
      </c>
      <c r="M290" t="s">
        <v>21</v>
      </c>
      <c r="N290" t="s">
        <v>479</v>
      </c>
      <c r="O290">
        <v>30000</v>
      </c>
    </row>
    <row r="291" spans="1:15" x14ac:dyDescent="0.25">
      <c r="A291" s="9" t="s">
        <v>772</v>
      </c>
      <c r="B291" t="s">
        <v>324</v>
      </c>
      <c r="C291" t="s">
        <v>28</v>
      </c>
      <c r="D291" t="s">
        <v>14</v>
      </c>
      <c r="E291" t="s">
        <v>54</v>
      </c>
      <c r="F291" t="s">
        <v>25</v>
      </c>
      <c r="G291" s="8">
        <v>45472</v>
      </c>
      <c r="H291" s="8">
        <v>45292</v>
      </c>
      <c r="I291" t="s">
        <v>17</v>
      </c>
      <c r="J291" t="s">
        <v>18</v>
      </c>
      <c r="K291" t="s">
        <v>77</v>
      </c>
      <c r="L291" t="s">
        <v>66</v>
      </c>
      <c r="M291" t="s">
        <v>37</v>
      </c>
      <c r="N291" t="s">
        <v>479</v>
      </c>
      <c r="O291">
        <v>30000</v>
      </c>
    </row>
    <row r="292" spans="1:15" x14ac:dyDescent="0.25">
      <c r="A292" s="9" t="s">
        <v>773</v>
      </c>
      <c r="B292" t="s">
        <v>325</v>
      </c>
      <c r="C292" t="s">
        <v>13</v>
      </c>
      <c r="D292" t="s">
        <v>14</v>
      </c>
      <c r="E292" t="s">
        <v>54</v>
      </c>
      <c r="F292" t="s">
        <v>25</v>
      </c>
      <c r="G292" s="8">
        <v>45472</v>
      </c>
      <c r="H292" s="8">
        <v>45292</v>
      </c>
      <c r="I292" t="s">
        <v>17</v>
      </c>
      <c r="J292" t="s">
        <v>18</v>
      </c>
      <c r="K292" t="s">
        <v>30</v>
      </c>
      <c r="L292" t="s">
        <v>39</v>
      </c>
      <c r="M292" t="s">
        <v>40</v>
      </c>
      <c r="N292" t="s">
        <v>479</v>
      </c>
      <c r="O292">
        <v>30000</v>
      </c>
    </row>
    <row r="293" spans="1:15" x14ac:dyDescent="0.25">
      <c r="A293" s="9" t="s">
        <v>774</v>
      </c>
      <c r="B293" t="s">
        <v>326</v>
      </c>
      <c r="C293" t="s">
        <v>13</v>
      </c>
      <c r="D293" t="s">
        <v>14</v>
      </c>
      <c r="E293" t="s">
        <v>54</v>
      </c>
      <c r="F293" t="s">
        <v>25</v>
      </c>
      <c r="G293" s="8">
        <v>45472</v>
      </c>
      <c r="H293" s="8">
        <v>45292</v>
      </c>
      <c r="I293" t="s">
        <v>17</v>
      </c>
      <c r="J293" t="s">
        <v>18</v>
      </c>
      <c r="K293" t="s">
        <v>19</v>
      </c>
      <c r="L293" t="s">
        <v>20</v>
      </c>
      <c r="M293" t="s">
        <v>21</v>
      </c>
      <c r="N293" t="s">
        <v>479</v>
      </c>
      <c r="O293">
        <v>30000</v>
      </c>
    </row>
    <row r="294" spans="1:15" x14ac:dyDescent="0.25">
      <c r="A294" s="9" t="s">
        <v>775</v>
      </c>
      <c r="B294" t="s">
        <v>327</v>
      </c>
      <c r="C294" t="s">
        <v>28</v>
      </c>
      <c r="D294" t="s">
        <v>14</v>
      </c>
      <c r="E294" t="s">
        <v>54</v>
      </c>
      <c r="F294" t="s">
        <v>25</v>
      </c>
      <c r="G294" s="8">
        <v>45472</v>
      </c>
      <c r="H294" s="8">
        <v>45292</v>
      </c>
      <c r="I294" t="s">
        <v>17</v>
      </c>
      <c r="J294" t="s">
        <v>18</v>
      </c>
      <c r="K294" t="s">
        <v>30</v>
      </c>
      <c r="L294" t="s">
        <v>20</v>
      </c>
      <c r="M294" t="s">
        <v>21</v>
      </c>
      <c r="N294" t="s">
        <v>479</v>
      </c>
      <c r="O294">
        <v>30000</v>
      </c>
    </row>
    <row r="295" spans="1:15" x14ac:dyDescent="0.25">
      <c r="A295" s="9" t="s">
        <v>776</v>
      </c>
      <c r="B295" t="s">
        <v>328</v>
      </c>
      <c r="C295" t="s">
        <v>28</v>
      </c>
      <c r="D295" t="s">
        <v>14</v>
      </c>
      <c r="E295" t="s">
        <v>54</v>
      </c>
      <c r="F295" t="s">
        <v>25</v>
      </c>
      <c r="G295" s="8">
        <v>45472</v>
      </c>
      <c r="H295" s="8">
        <v>45292</v>
      </c>
      <c r="I295" t="s">
        <v>17</v>
      </c>
      <c r="J295" t="s">
        <v>29</v>
      </c>
      <c r="K295" t="s">
        <v>44</v>
      </c>
      <c r="L295" t="s">
        <v>20</v>
      </c>
      <c r="M295" t="s">
        <v>21</v>
      </c>
      <c r="N295" t="s">
        <v>479</v>
      </c>
      <c r="O295">
        <v>30000</v>
      </c>
    </row>
    <row r="296" spans="1:15" x14ac:dyDescent="0.25">
      <c r="A296" s="9" t="s">
        <v>777</v>
      </c>
      <c r="B296" t="s">
        <v>329</v>
      </c>
      <c r="C296" t="s">
        <v>13</v>
      </c>
      <c r="D296" t="s">
        <v>14</v>
      </c>
      <c r="E296" t="s">
        <v>54</v>
      </c>
      <c r="F296" t="s">
        <v>25</v>
      </c>
      <c r="G296" s="8">
        <v>45472</v>
      </c>
      <c r="H296" s="8">
        <v>45292</v>
      </c>
      <c r="I296" t="s">
        <v>17</v>
      </c>
      <c r="J296" t="s">
        <v>18</v>
      </c>
      <c r="K296" t="s">
        <v>77</v>
      </c>
      <c r="L296" t="s">
        <v>20</v>
      </c>
      <c r="M296" t="s">
        <v>21</v>
      </c>
      <c r="N296" t="s">
        <v>479</v>
      </c>
      <c r="O296">
        <v>30000</v>
      </c>
    </row>
    <row r="297" spans="1:15" x14ac:dyDescent="0.25">
      <c r="A297" s="9" t="s">
        <v>778</v>
      </c>
      <c r="B297" t="s">
        <v>121</v>
      </c>
      <c r="C297" t="s">
        <v>34</v>
      </c>
      <c r="D297" t="s">
        <v>14</v>
      </c>
      <c r="E297" t="s">
        <v>54</v>
      </c>
      <c r="F297" t="s">
        <v>25</v>
      </c>
      <c r="G297" s="8">
        <v>45472</v>
      </c>
      <c r="H297" s="8">
        <v>45292</v>
      </c>
      <c r="I297" t="s">
        <v>17</v>
      </c>
      <c r="J297" t="s">
        <v>18</v>
      </c>
      <c r="K297" t="s">
        <v>30</v>
      </c>
      <c r="L297" t="s">
        <v>120</v>
      </c>
      <c r="M297" t="s">
        <v>32</v>
      </c>
      <c r="N297" t="s">
        <v>479</v>
      </c>
      <c r="O297">
        <v>30000</v>
      </c>
    </row>
    <row r="298" spans="1:15" x14ac:dyDescent="0.25">
      <c r="A298" s="9" t="s">
        <v>779</v>
      </c>
      <c r="B298" t="s">
        <v>330</v>
      </c>
      <c r="C298" t="s">
        <v>28</v>
      </c>
      <c r="D298" t="s">
        <v>14</v>
      </c>
      <c r="E298" t="s">
        <v>54</v>
      </c>
      <c r="F298" t="s">
        <v>25</v>
      </c>
      <c r="G298" s="8">
        <v>45472</v>
      </c>
      <c r="H298" s="8">
        <v>45292</v>
      </c>
      <c r="I298" t="s">
        <v>58</v>
      </c>
      <c r="J298" t="s">
        <v>18</v>
      </c>
      <c r="K298" t="s">
        <v>19</v>
      </c>
      <c r="L298" t="s">
        <v>140</v>
      </c>
      <c r="M298" t="s">
        <v>37</v>
      </c>
      <c r="N298" t="s">
        <v>479</v>
      </c>
      <c r="O298">
        <v>30000</v>
      </c>
    </row>
    <row r="299" spans="1:15" x14ac:dyDescent="0.25">
      <c r="A299" s="9" t="s">
        <v>780</v>
      </c>
      <c r="B299" t="s">
        <v>331</v>
      </c>
      <c r="C299" t="s">
        <v>28</v>
      </c>
      <c r="D299" t="s">
        <v>14</v>
      </c>
      <c r="E299" t="s">
        <v>54</v>
      </c>
      <c r="F299" t="s">
        <v>25</v>
      </c>
      <c r="G299" s="8">
        <v>45472</v>
      </c>
      <c r="H299" s="8">
        <v>45292</v>
      </c>
      <c r="I299" t="s">
        <v>58</v>
      </c>
      <c r="J299" t="s">
        <v>29</v>
      </c>
      <c r="K299" t="s">
        <v>30</v>
      </c>
      <c r="L299" t="s">
        <v>20</v>
      </c>
      <c r="M299" t="s">
        <v>21</v>
      </c>
      <c r="N299" t="s">
        <v>479</v>
      </c>
      <c r="O299">
        <v>30000</v>
      </c>
    </row>
    <row r="300" spans="1:15" x14ac:dyDescent="0.25">
      <c r="A300" s="9" t="s">
        <v>781</v>
      </c>
      <c r="B300" t="s">
        <v>332</v>
      </c>
      <c r="C300" t="s">
        <v>28</v>
      </c>
      <c r="D300" t="s">
        <v>14</v>
      </c>
      <c r="E300" t="s">
        <v>54</v>
      </c>
      <c r="F300" t="s">
        <v>25</v>
      </c>
      <c r="G300" s="8">
        <v>45472</v>
      </c>
      <c r="H300" s="8">
        <v>45292</v>
      </c>
      <c r="I300" t="s">
        <v>17</v>
      </c>
      <c r="J300" t="s">
        <v>29</v>
      </c>
      <c r="K300" t="s">
        <v>30</v>
      </c>
      <c r="L300" t="s">
        <v>20</v>
      </c>
      <c r="M300" t="s">
        <v>21</v>
      </c>
      <c r="N300" t="s">
        <v>479</v>
      </c>
      <c r="O300">
        <v>30000</v>
      </c>
    </row>
    <row r="301" spans="1:15" x14ac:dyDescent="0.25">
      <c r="A301" s="9" t="s">
        <v>782</v>
      </c>
      <c r="B301" t="s">
        <v>333</v>
      </c>
      <c r="C301" t="s">
        <v>34</v>
      </c>
      <c r="D301" t="s">
        <v>14</v>
      </c>
      <c r="E301" t="s">
        <v>54</v>
      </c>
      <c r="F301" t="s">
        <v>25</v>
      </c>
      <c r="G301" s="8">
        <v>45472</v>
      </c>
      <c r="H301" s="8">
        <v>45292</v>
      </c>
      <c r="I301" t="s">
        <v>17</v>
      </c>
      <c r="J301" t="s">
        <v>18</v>
      </c>
      <c r="K301" t="s">
        <v>26</v>
      </c>
      <c r="L301" t="s">
        <v>20</v>
      </c>
      <c r="M301" t="s">
        <v>21</v>
      </c>
      <c r="N301" t="s">
        <v>479</v>
      </c>
      <c r="O301">
        <v>30000</v>
      </c>
    </row>
    <row r="302" spans="1:15" x14ac:dyDescent="0.25">
      <c r="A302" s="9" t="s">
        <v>783</v>
      </c>
      <c r="B302" t="s">
        <v>334</v>
      </c>
      <c r="C302" t="s">
        <v>28</v>
      </c>
      <c r="D302" t="s">
        <v>335</v>
      </c>
      <c r="E302" t="s">
        <v>54</v>
      </c>
      <c r="F302" t="s">
        <v>25</v>
      </c>
      <c r="G302" s="8">
        <v>45472</v>
      </c>
      <c r="H302" s="8">
        <v>45292</v>
      </c>
      <c r="I302" t="s">
        <v>17</v>
      </c>
      <c r="J302" t="s">
        <v>18</v>
      </c>
      <c r="K302" t="s">
        <v>26</v>
      </c>
      <c r="L302" t="s">
        <v>20</v>
      </c>
      <c r="M302" t="s">
        <v>21</v>
      </c>
      <c r="N302" t="s">
        <v>479</v>
      </c>
      <c r="O302">
        <v>30000</v>
      </c>
    </row>
    <row r="303" spans="1:15" x14ac:dyDescent="0.25">
      <c r="A303" s="9" t="s">
        <v>784</v>
      </c>
      <c r="B303" t="s">
        <v>336</v>
      </c>
      <c r="C303" t="s">
        <v>28</v>
      </c>
      <c r="D303" t="s">
        <v>335</v>
      </c>
      <c r="E303" t="s">
        <v>54</v>
      </c>
      <c r="F303" t="s">
        <v>25</v>
      </c>
      <c r="G303" s="8">
        <v>45472</v>
      </c>
      <c r="H303" s="8">
        <v>45292</v>
      </c>
      <c r="I303" t="s">
        <v>17</v>
      </c>
      <c r="J303" t="s">
        <v>18</v>
      </c>
      <c r="K303" t="s">
        <v>26</v>
      </c>
      <c r="L303" t="s">
        <v>20</v>
      </c>
      <c r="M303" t="s">
        <v>21</v>
      </c>
      <c r="N303" t="s">
        <v>479</v>
      </c>
      <c r="O303">
        <v>30000</v>
      </c>
    </row>
    <row r="304" spans="1:15" x14ac:dyDescent="0.25">
      <c r="A304" s="9" t="s">
        <v>785</v>
      </c>
      <c r="B304" t="s">
        <v>337</v>
      </c>
      <c r="C304" t="s">
        <v>34</v>
      </c>
      <c r="D304" t="s">
        <v>14</v>
      </c>
      <c r="E304" t="s">
        <v>54</v>
      </c>
      <c r="F304" t="s">
        <v>25</v>
      </c>
      <c r="G304" s="8">
        <v>45473</v>
      </c>
      <c r="H304" s="8">
        <v>45293</v>
      </c>
      <c r="I304" t="s">
        <v>17</v>
      </c>
      <c r="J304" t="s">
        <v>18</v>
      </c>
      <c r="K304" t="s">
        <v>96</v>
      </c>
      <c r="L304" t="s">
        <v>272</v>
      </c>
      <c r="M304" t="s">
        <v>37</v>
      </c>
      <c r="N304" t="s">
        <v>479</v>
      </c>
      <c r="O304">
        <v>30000</v>
      </c>
    </row>
    <row r="305" spans="1:15" x14ac:dyDescent="0.25">
      <c r="A305" s="9" t="s">
        <v>786</v>
      </c>
      <c r="B305" t="s">
        <v>338</v>
      </c>
      <c r="C305" t="s">
        <v>34</v>
      </c>
      <c r="D305" t="s">
        <v>14</v>
      </c>
      <c r="E305" t="s">
        <v>54</v>
      </c>
      <c r="F305" t="s">
        <v>25</v>
      </c>
      <c r="G305" s="8">
        <v>45473</v>
      </c>
      <c r="H305" s="8">
        <v>45293</v>
      </c>
      <c r="I305" t="s">
        <v>17</v>
      </c>
      <c r="J305" t="s">
        <v>18</v>
      </c>
      <c r="K305" t="s">
        <v>19</v>
      </c>
      <c r="L305" t="s">
        <v>66</v>
      </c>
      <c r="M305" t="s">
        <v>37</v>
      </c>
      <c r="N305" t="s">
        <v>479</v>
      </c>
      <c r="O305">
        <v>30000</v>
      </c>
    </row>
    <row r="306" spans="1:15" x14ac:dyDescent="0.25">
      <c r="A306" s="9" t="s">
        <v>787</v>
      </c>
      <c r="B306" t="s">
        <v>339</v>
      </c>
      <c r="C306" t="s">
        <v>28</v>
      </c>
      <c r="D306" t="s">
        <v>14</v>
      </c>
      <c r="E306" t="s">
        <v>54</v>
      </c>
      <c r="F306" t="s">
        <v>25</v>
      </c>
      <c r="G306" s="8">
        <v>45473</v>
      </c>
      <c r="H306" s="8">
        <v>45293</v>
      </c>
      <c r="I306" t="s">
        <v>17</v>
      </c>
      <c r="J306" t="s">
        <v>18</v>
      </c>
      <c r="K306" t="s">
        <v>30</v>
      </c>
      <c r="L306" t="s">
        <v>20</v>
      </c>
      <c r="M306" t="s">
        <v>21</v>
      </c>
      <c r="N306" t="s">
        <v>479</v>
      </c>
      <c r="O306">
        <v>30000</v>
      </c>
    </row>
    <row r="307" spans="1:15" x14ac:dyDescent="0.25">
      <c r="A307" s="9" t="s">
        <v>788</v>
      </c>
      <c r="B307" t="s">
        <v>340</v>
      </c>
      <c r="C307" t="s">
        <v>34</v>
      </c>
      <c r="D307" t="s">
        <v>14</v>
      </c>
      <c r="E307" t="s">
        <v>54</v>
      </c>
      <c r="F307" t="s">
        <v>25</v>
      </c>
      <c r="G307" s="8">
        <v>45474</v>
      </c>
      <c r="H307" s="8">
        <v>45294</v>
      </c>
      <c r="I307" t="s">
        <v>58</v>
      </c>
      <c r="J307" t="s">
        <v>18</v>
      </c>
      <c r="K307" t="s">
        <v>30</v>
      </c>
      <c r="L307" t="s">
        <v>162</v>
      </c>
      <c r="M307" t="s">
        <v>163</v>
      </c>
      <c r="N307" t="s">
        <v>479</v>
      </c>
      <c r="O307">
        <v>30000</v>
      </c>
    </row>
    <row r="308" spans="1:15" x14ac:dyDescent="0.25">
      <c r="A308" s="9" t="s">
        <v>789</v>
      </c>
      <c r="B308" t="s">
        <v>341</v>
      </c>
      <c r="C308" t="s">
        <v>34</v>
      </c>
      <c r="D308" t="s">
        <v>14</v>
      </c>
      <c r="E308" t="s">
        <v>54</v>
      </c>
      <c r="F308" t="s">
        <v>25</v>
      </c>
      <c r="G308" s="8">
        <v>45474</v>
      </c>
      <c r="H308" s="8">
        <v>45294</v>
      </c>
      <c r="I308" t="s">
        <v>58</v>
      </c>
      <c r="J308" t="s">
        <v>18</v>
      </c>
      <c r="K308" t="s">
        <v>26</v>
      </c>
      <c r="L308" t="s">
        <v>20</v>
      </c>
      <c r="M308" t="s">
        <v>21</v>
      </c>
      <c r="N308" t="s">
        <v>479</v>
      </c>
      <c r="O308">
        <v>30000</v>
      </c>
    </row>
    <row r="309" spans="1:15" x14ac:dyDescent="0.25">
      <c r="A309" s="9" t="s">
        <v>790</v>
      </c>
      <c r="B309" t="s">
        <v>342</v>
      </c>
      <c r="C309" t="s">
        <v>28</v>
      </c>
      <c r="D309" t="s">
        <v>14</v>
      </c>
      <c r="E309" t="s">
        <v>54</v>
      </c>
      <c r="F309" t="s">
        <v>25</v>
      </c>
      <c r="G309" s="8">
        <v>45477</v>
      </c>
      <c r="H309" s="8">
        <v>45297</v>
      </c>
      <c r="I309" t="s">
        <v>17</v>
      </c>
      <c r="J309" t="s">
        <v>18</v>
      </c>
      <c r="K309" t="s">
        <v>19</v>
      </c>
      <c r="L309" t="s">
        <v>66</v>
      </c>
      <c r="M309" t="s">
        <v>37</v>
      </c>
      <c r="N309" t="s">
        <v>479</v>
      </c>
      <c r="O309">
        <v>30000</v>
      </c>
    </row>
    <row r="310" spans="1:15" x14ac:dyDescent="0.25">
      <c r="A310" s="9" t="s">
        <v>791</v>
      </c>
      <c r="B310" t="s">
        <v>343</v>
      </c>
      <c r="C310" t="s">
        <v>13</v>
      </c>
      <c r="D310" t="s">
        <v>14</v>
      </c>
      <c r="E310" t="s">
        <v>54</v>
      </c>
      <c r="F310" t="s">
        <v>25</v>
      </c>
      <c r="G310" s="8">
        <v>45477</v>
      </c>
      <c r="H310" s="8">
        <v>45297</v>
      </c>
      <c r="I310" t="s">
        <v>17</v>
      </c>
      <c r="J310" t="s">
        <v>18</v>
      </c>
      <c r="K310" t="s">
        <v>19</v>
      </c>
      <c r="L310" t="s">
        <v>66</v>
      </c>
      <c r="M310" t="s">
        <v>37</v>
      </c>
      <c r="N310" t="s">
        <v>479</v>
      </c>
      <c r="O310">
        <v>30000</v>
      </c>
    </row>
    <row r="311" spans="1:15" x14ac:dyDescent="0.25">
      <c r="A311" s="9" t="s">
        <v>792</v>
      </c>
      <c r="B311" t="s">
        <v>344</v>
      </c>
      <c r="C311" t="s">
        <v>13</v>
      </c>
      <c r="D311" t="s">
        <v>14</v>
      </c>
      <c r="E311" t="s">
        <v>54</v>
      </c>
      <c r="F311" t="s">
        <v>25</v>
      </c>
      <c r="G311" s="8">
        <v>45477</v>
      </c>
      <c r="H311" s="8">
        <v>45297</v>
      </c>
      <c r="I311" t="s">
        <v>58</v>
      </c>
      <c r="J311" t="s">
        <v>29</v>
      </c>
      <c r="K311" t="s">
        <v>19</v>
      </c>
      <c r="L311" t="s">
        <v>600</v>
      </c>
      <c r="M311" t="s">
        <v>37</v>
      </c>
      <c r="N311" t="s">
        <v>479</v>
      </c>
      <c r="O311">
        <v>30000</v>
      </c>
    </row>
    <row r="312" spans="1:15" x14ac:dyDescent="0.25">
      <c r="A312" s="9" t="s">
        <v>793</v>
      </c>
      <c r="B312" t="s">
        <v>345</v>
      </c>
      <c r="C312" t="s">
        <v>28</v>
      </c>
      <c r="D312" t="s">
        <v>14</v>
      </c>
      <c r="E312" t="s">
        <v>54</v>
      </c>
      <c r="F312" t="s">
        <v>25</v>
      </c>
      <c r="G312" s="8">
        <v>45477</v>
      </c>
      <c r="H312" s="8">
        <v>45297</v>
      </c>
      <c r="I312" t="s">
        <v>58</v>
      </c>
      <c r="J312" t="s">
        <v>18</v>
      </c>
      <c r="K312" t="s">
        <v>26</v>
      </c>
      <c r="L312" t="s">
        <v>20</v>
      </c>
      <c r="M312" t="s">
        <v>21</v>
      </c>
      <c r="N312" t="s">
        <v>479</v>
      </c>
      <c r="O312">
        <v>6000</v>
      </c>
    </row>
    <row r="313" spans="1:15" x14ac:dyDescent="0.25">
      <c r="A313" s="9" t="s">
        <v>794</v>
      </c>
      <c r="B313" t="s">
        <v>346</v>
      </c>
      <c r="C313" t="s">
        <v>28</v>
      </c>
      <c r="D313" t="s">
        <v>107</v>
      </c>
      <c r="E313" t="s">
        <v>24</v>
      </c>
      <c r="F313" t="s">
        <v>25</v>
      </c>
      <c r="G313" s="8">
        <v>45475</v>
      </c>
      <c r="H313" s="8">
        <v>45295</v>
      </c>
      <c r="I313" t="s">
        <v>17</v>
      </c>
      <c r="J313" t="s">
        <v>18</v>
      </c>
      <c r="K313" t="s">
        <v>26</v>
      </c>
      <c r="L313" t="s">
        <v>109</v>
      </c>
      <c r="M313" t="s">
        <v>40</v>
      </c>
      <c r="N313" t="s">
        <v>479</v>
      </c>
      <c r="O313">
        <v>6000</v>
      </c>
    </row>
    <row r="314" spans="1:15" x14ac:dyDescent="0.25">
      <c r="A314" s="9" t="s">
        <v>795</v>
      </c>
      <c r="B314" t="s">
        <v>347</v>
      </c>
      <c r="C314" t="s">
        <v>34</v>
      </c>
      <c r="D314" t="s">
        <v>14</v>
      </c>
      <c r="E314" t="s">
        <v>54</v>
      </c>
      <c r="F314" t="s">
        <v>25</v>
      </c>
      <c r="G314" s="8">
        <v>45477</v>
      </c>
      <c r="H314" s="8">
        <v>45297</v>
      </c>
      <c r="I314" t="s">
        <v>17</v>
      </c>
      <c r="J314" t="s">
        <v>18</v>
      </c>
      <c r="K314" t="s">
        <v>77</v>
      </c>
      <c r="L314" t="s">
        <v>20</v>
      </c>
      <c r="M314" t="s">
        <v>21</v>
      </c>
      <c r="N314" t="s">
        <v>479</v>
      </c>
      <c r="O314">
        <v>6000</v>
      </c>
    </row>
    <row r="315" spans="1:15" x14ac:dyDescent="0.25">
      <c r="A315" s="9" t="s">
        <v>796</v>
      </c>
      <c r="B315" t="s">
        <v>348</v>
      </c>
      <c r="C315" t="s">
        <v>34</v>
      </c>
      <c r="D315" t="s">
        <v>14</v>
      </c>
      <c r="E315" t="s">
        <v>54</v>
      </c>
      <c r="F315" t="s">
        <v>25</v>
      </c>
      <c r="G315" s="8">
        <v>45477</v>
      </c>
      <c r="H315" s="8">
        <v>45297</v>
      </c>
      <c r="I315" t="s">
        <v>17</v>
      </c>
      <c r="J315" t="s">
        <v>18</v>
      </c>
      <c r="K315" t="s">
        <v>19</v>
      </c>
      <c r="L315" t="s">
        <v>137</v>
      </c>
      <c r="M315" t="s">
        <v>21</v>
      </c>
      <c r="N315" t="s">
        <v>479</v>
      </c>
      <c r="O315">
        <v>6000</v>
      </c>
    </row>
    <row r="316" spans="1:15" x14ac:dyDescent="0.25">
      <c r="A316" s="9" t="s">
        <v>797</v>
      </c>
      <c r="B316" t="s">
        <v>349</v>
      </c>
      <c r="C316" t="s">
        <v>34</v>
      </c>
      <c r="D316" t="s">
        <v>14</v>
      </c>
      <c r="E316" t="s">
        <v>54</v>
      </c>
      <c r="F316" t="s">
        <v>25</v>
      </c>
      <c r="G316" s="8">
        <v>45480</v>
      </c>
      <c r="H316" s="8">
        <v>45300</v>
      </c>
      <c r="I316" t="s">
        <v>17</v>
      </c>
      <c r="J316" t="s">
        <v>18</v>
      </c>
      <c r="K316" t="s">
        <v>77</v>
      </c>
      <c r="L316" t="s">
        <v>80</v>
      </c>
      <c r="M316" t="s">
        <v>21</v>
      </c>
      <c r="N316" t="s">
        <v>479</v>
      </c>
      <c r="O316">
        <v>6000</v>
      </c>
    </row>
    <row r="317" spans="1:15" x14ac:dyDescent="0.25">
      <c r="A317" s="9" t="s">
        <v>798</v>
      </c>
      <c r="B317" t="s">
        <v>350</v>
      </c>
      <c r="C317" t="s">
        <v>28</v>
      </c>
      <c r="D317" t="s">
        <v>14</v>
      </c>
      <c r="E317" t="s">
        <v>54</v>
      </c>
      <c r="F317" t="s">
        <v>25</v>
      </c>
      <c r="G317" s="8">
        <v>45480</v>
      </c>
      <c r="H317" s="8">
        <v>45300</v>
      </c>
      <c r="I317" t="s">
        <v>58</v>
      </c>
      <c r="J317" t="s">
        <v>18</v>
      </c>
      <c r="K317" t="s">
        <v>77</v>
      </c>
      <c r="L317" t="s">
        <v>140</v>
      </c>
      <c r="M317" t="s">
        <v>37</v>
      </c>
      <c r="N317" t="s">
        <v>479</v>
      </c>
      <c r="O317">
        <v>6000</v>
      </c>
    </row>
    <row r="318" spans="1:15" x14ac:dyDescent="0.25">
      <c r="A318" s="9" t="s">
        <v>799</v>
      </c>
      <c r="B318" t="s">
        <v>351</v>
      </c>
      <c r="C318" t="s">
        <v>129</v>
      </c>
      <c r="D318" t="s">
        <v>14</v>
      </c>
      <c r="E318" t="s">
        <v>54</v>
      </c>
      <c r="F318" t="s">
        <v>25</v>
      </c>
      <c r="G318" s="8">
        <v>45480</v>
      </c>
      <c r="H318" s="8">
        <v>45300</v>
      </c>
      <c r="I318" t="s">
        <v>58</v>
      </c>
      <c r="J318" t="s">
        <v>29</v>
      </c>
      <c r="K318" t="s">
        <v>30</v>
      </c>
      <c r="L318" t="s">
        <v>137</v>
      </c>
      <c r="M318" t="s">
        <v>21</v>
      </c>
      <c r="N318" t="s">
        <v>479</v>
      </c>
      <c r="O318">
        <v>6000</v>
      </c>
    </row>
    <row r="319" spans="1:15" x14ac:dyDescent="0.25">
      <c r="A319" s="9" t="s">
        <v>800</v>
      </c>
      <c r="B319" t="s">
        <v>352</v>
      </c>
      <c r="C319" t="s">
        <v>13</v>
      </c>
      <c r="D319" t="s">
        <v>14</v>
      </c>
      <c r="E319" t="s">
        <v>54</v>
      </c>
      <c r="F319" t="s">
        <v>25</v>
      </c>
      <c r="G319" s="8">
        <v>45480</v>
      </c>
      <c r="H319" s="8">
        <v>45300</v>
      </c>
      <c r="I319" t="s">
        <v>58</v>
      </c>
      <c r="J319" t="s">
        <v>18</v>
      </c>
      <c r="K319" t="s">
        <v>30</v>
      </c>
      <c r="L319" t="s">
        <v>137</v>
      </c>
      <c r="M319" t="s">
        <v>21</v>
      </c>
      <c r="N319" t="s">
        <v>479</v>
      </c>
      <c r="O319">
        <v>6000</v>
      </c>
    </row>
    <row r="320" spans="1:15" x14ac:dyDescent="0.25">
      <c r="A320" s="9" t="s">
        <v>801</v>
      </c>
      <c r="B320" t="s">
        <v>353</v>
      </c>
      <c r="C320" t="s">
        <v>34</v>
      </c>
      <c r="D320" t="s">
        <v>14</v>
      </c>
      <c r="E320" t="s">
        <v>54</v>
      </c>
      <c r="F320" t="s">
        <v>25</v>
      </c>
      <c r="G320" s="8">
        <v>45480</v>
      </c>
      <c r="H320" s="8">
        <v>45300</v>
      </c>
      <c r="I320" t="s">
        <v>58</v>
      </c>
      <c r="J320" t="s">
        <v>18</v>
      </c>
      <c r="K320" t="s">
        <v>77</v>
      </c>
      <c r="L320" t="s">
        <v>137</v>
      </c>
      <c r="M320" t="s">
        <v>21</v>
      </c>
      <c r="N320" t="s">
        <v>479</v>
      </c>
      <c r="O320">
        <v>6000</v>
      </c>
    </row>
    <row r="321" spans="1:15" x14ac:dyDescent="0.25">
      <c r="A321" s="9" t="s">
        <v>802</v>
      </c>
      <c r="B321" t="s">
        <v>354</v>
      </c>
      <c r="C321" t="s">
        <v>13</v>
      </c>
      <c r="D321" t="s">
        <v>14</v>
      </c>
      <c r="E321" t="s">
        <v>54</v>
      </c>
      <c r="F321" t="s">
        <v>25</v>
      </c>
      <c r="G321" s="8">
        <v>45481</v>
      </c>
      <c r="H321" s="8">
        <v>45301</v>
      </c>
      <c r="I321" t="s">
        <v>17</v>
      </c>
      <c r="J321" t="s">
        <v>18</v>
      </c>
      <c r="K321" t="s">
        <v>19</v>
      </c>
      <c r="L321" t="s">
        <v>140</v>
      </c>
      <c r="M321" t="s">
        <v>37</v>
      </c>
      <c r="N321" t="s">
        <v>479</v>
      </c>
      <c r="O321">
        <v>6000</v>
      </c>
    </row>
    <row r="322" spans="1:15" x14ac:dyDescent="0.25">
      <c r="A322" s="9" t="s">
        <v>803</v>
      </c>
      <c r="B322" t="s">
        <v>355</v>
      </c>
      <c r="C322" t="s">
        <v>13</v>
      </c>
      <c r="D322" t="s">
        <v>14</v>
      </c>
      <c r="E322" t="s">
        <v>54</v>
      </c>
      <c r="F322" t="s">
        <v>25</v>
      </c>
      <c r="G322" s="8">
        <v>45481</v>
      </c>
      <c r="H322" s="8">
        <v>45301</v>
      </c>
      <c r="I322" t="s">
        <v>58</v>
      </c>
      <c r="J322" t="s">
        <v>18</v>
      </c>
      <c r="K322" t="s">
        <v>19</v>
      </c>
      <c r="L322" t="s">
        <v>140</v>
      </c>
      <c r="M322" t="s">
        <v>37</v>
      </c>
      <c r="N322" t="s">
        <v>479</v>
      </c>
      <c r="O322">
        <v>6000</v>
      </c>
    </row>
    <row r="323" spans="1:15" x14ac:dyDescent="0.25">
      <c r="A323" s="9" t="s">
        <v>804</v>
      </c>
      <c r="B323" t="s">
        <v>356</v>
      </c>
      <c r="C323" t="s">
        <v>34</v>
      </c>
      <c r="D323" t="s">
        <v>14</v>
      </c>
      <c r="E323" t="s">
        <v>54</v>
      </c>
      <c r="F323" t="s">
        <v>25</v>
      </c>
      <c r="G323" s="8">
        <v>45481</v>
      </c>
      <c r="H323" s="8">
        <v>45301</v>
      </c>
      <c r="I323" t="s">
        <v>58</v>
      </c>
      <c r="J323" t="s">
        <v>18</v>
      </c>
      <c r="K323" t="s">
        <v>77</v>
      </c>
      <c r="L323" t="s">
        <v>357</v>
      </c>
      <c r="M323" t="s">
        <v>70</v>
      </c>
      <c r="N323" t="s">
        <v>479</v>
      </c>
      <c r="O323">
        <v>6000</v>
      </c>
    </row>
    <row r="324" spans="1:15" x14ac:dyDescent="0.25">
      <c r="A324" s="9" t="s">
        <v>805</v>
      </c>
      <c r="B324" t="s">
        <v>180</v>
      </c>
      <c r="C324" t="s">
        <v>28</v>
      </c>
      <c r="D324" t="s">
        <v>14</v>
      </c>
      <c r="E324" t="s">
        <v>54</v>
      </c>
      <c r="F324" t="s">
        <v>25</v>
      </c>
      <c r="G324" s="8">
        <v>45481</v>
      </c>
      <c r="H324" s="8">
        <v>45301</v>
      </c>
      <c r="I324" t="s">
        <v>17</v>
      </c>
      <c r="J324" t="s">
        <v>18</v>
      </c>
      <c r="K324" t="s">
        <v>19</v>
      </c>
      <c r="L324" t="s">
        <v>66</v>
      </c>
      <c r="M324" t="s">
        <v>37</v>
      </c>
      <c r="N324" t="s">
        <v>479</v>
      </c>
      <c r="O324">
        <v>6000</v>
      </c>
    </row>
    <row r="325" spans="1:15" x14ac:dyDescent="0.25">
      <c r="A325" s="9" t="s">
        <v>806</v>
      </c>
      <c r="B325" t="s">
        <v>45</v>
      </c>
      <c r="C325" t="s">
        <v>28</v>
      </c>
      <c r="D325" t="s">
        <v>14</v>
      </c>
      <c r="E325" t="s">
        <v>54</v>
      </c>
      <c r="F325" t="s">
        <v>25</v>
      </c>
      <c r="G325" s="8">
        <v>45481</v>
      </c>
      <c r="H325" s="8">
        <v>45301</v>
      </c>
      <c r="I325" t="s">
        <v>17</v>
      </c>
      <c r="J325" t="s">
        <v>18</v>
      </c>
      <c r="K325" t="s">
        <v>30</v>
      </c>
      <c r="L325" t="s">
        <v>66</v>
      </c>
      <c r="M325" t="s">
        <v>37</v>
      </c>
      <c r="N325" t="s">
        <v>479</v>
      </c>
      <c r="O325">
        <v>6000</v>
      </c>
    </row>
    <row r="326" spans="1:15" x14ac:dyDescent="0.25">
      <c r="A326" s="9" t="s">
        <v>807</v>
      </c>
      <c r="B326" t="s">
        <v>358</v>
      </c>
      <c r="C326" t="s">
        <v>28</v>
      </c>
      <c r="D326" t="s">
        <v>14</v>
      </c>
      <c r="E326" t="s">
        <v>54</v>
      </c>
      <c r="F326" t="s">
        <v>25</v>
      </c>
      <c r="G326" s="8">
        <v>45481</v>
      </c>
      <c r="H326" s="8">
        <v>45301</v>
      </c>
      <c r="I326" t="s">
        <v>58</v>
      </c>
      <c r="J326" t="s">
        <v>18</v>
      </c>
      <c r="K326" t="s">
        <v>77</v>
      </c>
      <c r="L326" t="s">
        <v>137</v>
      </c>
      <c r="M326" t="s">
        <v>21</v>
      </c>
      <c r="N326" t="s">
        <v>479</v>
      </c>
      <c r="O326">
        <v>6000</v>
      </c>
    </row>
    <row r="327" spans="1:15" x14ac:dyDescent="0.25">
      <c r="A327" s="9" t="s">
        <v>808</v>
      </c>
      <c r="B327" t="s">
        <v>359</v>
      </c>
      <c r="C327" t="s">
        <v>28</v>
      </c>
      <c r="D327" t="s">
        <v>14</v>
      </c>
      <c r="E327" t="s">
        <v>54</v>
      </c>
      <c r="F327" t="s">
        <v>25</v>
      </c>
      <c r="G327" s="8">
        <v>45481</v>
      </c>
      <c r="H327" s="8">
        <v>45301</v>
      </c>
      <c r="I327" t="s">
        <v>17</v>
      </c>
      <c r="J327" t="s">
        <v>18</v>
      </c>
      <c r="K327" t="s">
        <v>30</v>
      </c>
      <c r="L327" t="s">
        <v>360</v>
      </c>
      <c r="M327" t="s">
        <v>37</v>
      </c>
      <c r="N327" t="s">
        <v>479</v>
      </c>
      <c r="O327">
        <v>6000</v>
      </c>
    </row>
    <row r="328" spans="1:15" x14ac:dyDescent="0.25">
      <c r="A328" s="9" t="s">
        <v>809</v>
      </c>
      <c r="B328" t="s">
        <v>361</v>
      </c>
      <c r="C328" t="s">
        <v>34</v>
      </c>
      <c r="D328" t="s">
        <v>14</v>
      </c>
      <c r="E328" t="s">
        <v>54</v>
      </c>
      <c r="F328" t="s">
        <v>25</v>
      </c>
      <c r="G328" s="8">
        <v>45481</v>
      </c>
      <c r="H328" s="8">
        <v>45301</v>
      </c>
      <c r="I328" t="s">
        <v>17</v>
      </c>
      <c r="J328" t="s">
        <v>18</v>
      </c>
      <c r="K328" t="s">
        <v>30</v>
      </c>
      <c r="L328" t="s">
        <v>20</v>
      </c>
      <c r="M328" t="s">
        <v>21</v>
      </c>
      <c r="N328" t="s">
        <v>479</v>
      </c>
      <c r="O328">
        <v>6000</v>
      </c>
    </row>
    <row r="329" spans="1:15" x14ac:dyDescent="0.25">
      <c r="A329" s="9" t="s">
        <v>810</v>
      </c>
      <c r="B329" t="s">
        <v>240</v>
      </c>
      <c r="C329" t="s">
        <v>34</v>
      </c>
      <c r="D329" t="s">
        <v>14</v>
      </c>
      <c r="E329" t="s">
        <v>54</v>
      </c>
      <c r="F329" t="s">
        <v>25</v>
      </c>
      <c r="G329" s="8">
        <v>45481</v>
      </c>
      <c r="H329" s="8">
        <v>45301</v>
      </c>
      <c r="I329" t="s">
        <v>17</v>
      </c>
      <c r="J329" t="s">
        <v>18</v>
      </c>
      <c r="K329" t="s">
        <v>19</v>
      </c>
      <c r="L329" t="s">
        <v>20</v>
      </c>
      <c r="M329" t="s">
        <v>21</v>
      </c>
      <c r="N329" t="s">
        <v>479</v>
      </c>
      <c r="O329">
        <v>6000</v>
      </c>
    </row>
    <row r="330" spans="1:15" x14ac:dyDescent="0.25">
      <c r="A330" s="9" t="s">
        <v>811</v>
      </c>
      <c r="B330" t="s">
        <v>362</v>
      </c>
      <c r="C330" t="s">
        <v>34</v>
      </c>
      <c r="D330" t="s">
        <v>14</v>
      </c>
      <c r="E330" t="s">
        <v>54</v>
      </c>
      <c r="F330" t="s">
        <v>25</v>
      </c>
      <c r="G330" s="8">
        <v>45481</v>
      </c>
      <c r="H330" s="8">
        <v>45301</v>
      </c>
      <c r="I330" t="s">
        <v>17</v>
      </c>
      <c r="J330" t="s">
        <v>18</v>
      </c>
      <c r="K330" t="s">
        <v>19</v>
      </c>
      <c r="L330" t="s">
        <v>20</v>
      </c>
      <c r="M330" t="s">
        <v>21</v>
      </c>
      <c r="N330" t="s">
        <v>479</v>
      </c>
      <c r="O330">
        <v>6000</v>
      </c>
    </row>
    <row r="331" spans="1:15" x14ac:dyDescent="0.25">
      <c r="A331" s="9" t="s">
        <v>812</v>
      </c>
      <c r="B331" t="s">
        <v>363</v>
      </c>
      <c r="C331" t="s">
        <v>28</v>
      </c>
      <c r="D331" t="s">
        <v>14</v>
      </c>
      <c r="E331" t="s">
        <v>54</v>
      </c>
      <c r="F331" t="s">
        <v>25</v>
      </c>
      <c r="G331" s="8">
        <v>45481</v>
      </c>
      <c r="H331" s="8">
        <v>45301</v>
      </c>
      <c r="I331" t="s">
        <v>58</v>
      </c>
      <c r="J331" t="s">
        <v>18</v>
      </c>
      <c r="K331" t="s">
        <v>77</v>
      </c>
      <c r="L331" t="s">
        <v>20</v>
      </c>
      <c r="M331" t="s">
        <v>21</v>
      </c>
      <c r="N331" t="s">
        <v>479</v>
      </c>
      <c r="O331">
        <v>6000</v>
      </c>
    </row>
    <row r="332" spans="1:15" x14ac:dyDescent="0.25">
      <c r="A332" s="9" t="s">
        <v>813</v>
      </c>
      <c r="B332" t="s">
        <v>64</v>
      </c>
      <c r="C332" t="s">
        <v>129</v>
      </c>
      <c r="D332" t="s">
        <v>107</v>
      </c>
      <c r="E332" t="s">
        <v>24</v>
      </c>
      <c r="F332" t="s">
        <v>25</v>
      </c>
      <c r="G332" s="8">
        <v>45482</v>
      </c>
      <c r="H332" s="8">
        <v>45302</v>
      </c>
      <c r="I332" t="s">
        <v>17</v>
      </c>
      <c r="J332" t="s">
        <v>29</v>
      </c>
      <c r="K332" t="s">
        <v>44</v>
      </c>
      <c r="L332" t="s">
        <v>20</v>
      </c>
      <c r="M332" t="s">
        <v>21</v>
      </c>
      <c r="N332" t="s">
        <v>479</v>
      </c>
      <c r="O332">
        <v>6000</v>
      </c>
    </row>
    <row r="333" spans="1:15" x14ac:dyDescent="0.25">
      <c r="A333" s="9" t="s">
        <v>814</v>
      </c>
      <c r="B333" t="s">
        <v>364</v>
      </c>
      <c r="C333" t="s">
        <v>13</v>
      </c>
      <c r="D333" t="s">
        <v>14</v>
      </c>
      <c r="E333" t="s">
        <v>54</v>
      </c>
      <c r="F333" t="s">
        <v>25</v>
      </c>
      <c r="G333" s="8">
        <v>45482</v>
      </c>
      <c r="H333" s="8">
        <v>45302</v>
      </c>
      <c r="I333" t="s">
        <v>17</v>
      </c>
      <c r="J333" t="s">
        <v>18</v>
      </c>
      <c r="K333" t="s">
        <v>19</v>
      </c>
      <c r="L333" t="s">
        <v>120</v>
      </c>
      <c r="M333" t="s">
        <v>32</v>
      </c>
      <c r="N333" t="s">
        <v>479</v>
      </c>
      <c r="O333">
        <v>6000</v>
      </c>
    </row>
    <row r="334" spans="1:15" x14ac:dyDescent="0.25">
      <c r="A334" s="9" t="s">
        <v>815</v>
      </c>
      <c r="B334" t="s">
        <v>365</v>
      </c>
      <c r="C334" t="s">
        <v>34</v>
      </c>
      <c r="D334" t="s">
        <v>14</v>
      </c>
      <c r="E334" t="s">
        <v>54</v>
      </c>
      <c r="F334" t="s">
        <v>25</v>
      </c>
      <c r="G334" s="8">
        <v>45482</v>
      </c>
      <c r="H334" s="8">
        <v>45302</v>
      </c>
      <c r="I334" t="s">
        <v>17</v>
      </c>
      <c r="J334" t="s">
        <v>18</v>
      </c>
      <c r="K334" t="s">
        <v>19</v>
      </c>
      <c r="L334" t="s">
        <v>20</v>
      </c>
      <c r="M334" t="s">
        <v>21</v>
      </c>
      <c r="N334" t="s">
        <v>479</v>
      </c>
      <c r="O334">
        <v>6000</v>
      </c>
    </row>
    <row r="335" spans="1:15" x14ac:dyDescent="0.25">
      <c r="A335" s="9" t="s">
        <v>816</v>
      </c>
      <c r="B335" t="s">
        <v>366</v>
      </c>
      <c r="C335" t="s">
        <v>13</v>
      </c>
      <c r="D335" t="s">
        <v>14</v>
      </c>
      <c r="E335" t="s">
        <v>54</v>
      </c>
      <c r="F335" t="s">
        <v>25</v>
      </c>
      <c r="G335" s="8">
        <v>45482</v>
      </c>
      <c r="H335" s="8">
        <v>45302</v>
      </c>
      <c r="I335" t="s">
        <v>58</v>
      </c>
      <c r="J335" t="s">
        <v>29</v>
      </c>
      <c r="K335" t="s">
        <v>30</v>
      </c>
      <c r="L335" t="s">
        <v>20</v>
      </c>
      <c r="M335" t="s">
        <v>21</v>
      </c>
      <c r="N335" t="s">
        <v>479</v>
      </c>
      <c r="O335">
        <v>6000</v>
      </c>
    </row>
    <row r="336" spans="1:15" x14ac:dyDescent="0.25">
      <c r="A336" s="9" t="s">
        <v>817</v>
      </c>
      <c r="B336" t="s">
        <v>367</v>
      </c>
      <c r="C336" t="s">
        <v>28</v>
      </c>
      <c r="D336" t="s">
        <v>14</v>
      </c>
      <c r="E336" t="s">
        <v>54</v>
      </c>
      <c r="F336" t="s">
        <v>25</v>
      </c>
      <c r="G336" s="8">
        <v>45482</v>
      </c>
      <c r="H336" s="8">
        <v>45302</v>
      </c>
      <c r="I336" t="s">
        <v>58</v>
      </c>
      <c r="J336" t="s">
        <v>18</v>
      </c>
      <c r="K336" t="s">
        <v>19</v>
      </c>
      <c r="L336" t="s">
        <v>120</v>
      </c>
      <c r="M336" t="s">
        <v>32</v>
      </c>
      <c r="N336" t="s">
        <v>479</v>
      </c>
      <c r="O336">
        <v>6000</v>
      </c>
    </row>
    <row r="337" spans="1:15" x14ac:dyDescent="0.25">
      <c r="A337" s="9" t="s">
        <v>818</v>
      </c>
      <c r="B337" t="s">
        <v>368</v>
      </c>
      <c r="C337" t="s">
        <v>28</v>
      </c>
      <c r="D337" t="s">
        <v>14</v>
      </c>
      <c r="E337" t="s">
        <v>54</v>
      </c>
      <c r="F337" t="s">
        <v>25</v>
      </c>
      <c r="G337" s="8">
        <v>45482</v>
      </c>
      <c r="H337" s="8">
        <v>45302</v>
      </c>
      <c r="I337" t="s">
        <v>58</v>
      </c>
      <c r="J337" t="s">
        <v>18</v>
      </c>
      <c r="K337" t="s">
        <v>26</v>
      </c>
      <c r="L337" t="s">
        <v>140</v>
      </c>
      <c r="M337" t="s">
        <v>37</v>
      </c>
      <c r="N337" t="s">
        <v>479</v>
      </c>
      <c r="O337">
        <v>6000</v>
      </c>
    </row>
    <row r="338" spans="1:15" x14ac:dyDescent="0.25">
      <c r="A338" s="9" t="s">
        <v>819</v>
      </c>
      <c r="B338" t="s">
        <v>369</v>
      </c>
      <c r="C338" t="s">
        <v>28</v>
      </c>
      <c r="D338" t="s">
        <v>14</v>
      </c>
      <c r="E338" t="s">
        <v>54</v>
      </c>
      <c r="F338" t="s">
        <v>25</v>
      </c>
      <c r="G338" s="8">
        <v>45483</v>
      </c>
      <c r="H338" s="8">
        <v>45303</v>
      </c>
      <c r="I338" t="s">
        <v>58</v>
      </c>
      <c r="J338" t="s">
        <v>18</v>
      </c>
      <c r="K338" t="s">
        <v>19</v>
      </c>
      <c r="L338" t="s">
        <v>20</v>
      </c>
      <c r="M338" t="s">
        <v>21</v>
      </c>
      <c r="N338" t="s">
        <v>479</v>
      </c>
      <c r="O338">
        <v>6000</v>
      </c>
    </row>
    <row r="339" spans="1:15" x14ac:dyDescent="0.25">
      <c r="A339" s="9" t="s">
        <v>820</v>
      </c>
      <c r="B339" t="s">
        <v>370</v>
      </c>
      <c r="C339" t="s">
        <v>28</v>
      </c>
      <c r="D339" t="s">
        <v>14</v>
      </c>
      <c r="E339" t="s">
        <v>54</v>
      </c>
      <c r="F339" t="s">
        <v>25</v>
      </c>
      <c r="G339" s="8">
        <v>45483</v>
      </c>
      <c r="H339" s="8">
        <v>45303</v>
      </c>
      <c r="I339" t="s">
        <v>17</v>
      </c>
      <c r="J339" t="s">
        <v>18</v>
      </c>
      <c r="K339" t="s">
        <v>26</v>
      </c>
      <c r="L339" t="s">
        <v>20</v>
      </c>
      <c r="M339" t="s">
        <v>21</v>
      </c>
      <c r="N339" t="s">
        <v>479</v>
      </c>
      <c r="O339">
        <v>6000</v>
      </c>
    </row>
    <row r="340" spans="1:15" x14ac:dyDescent="0.25">
      <c r="A340" s="9" t="s">
        <v>821</v>
      </c>
      <c r="B340" t="s">
        <v>371</v>
      </c>
      <c r="C340" t="s">
        <v>129</v>
      </c>
      <c r="D340" t="s">
        <v>125</v>
      </c>
      <c r="E340" t="s">
        <v>54</v>
      </c>
      <c r="F340" t="s">
        <v>25</v>
      </c>
      <c r="G340" s="8">
        <v>45483</v>
      </c>
      <c r="H340" s="8">
        <v>45303</v>
      </c>
      <c r="I340" t="s">
        <v>17</v>
      </c>
      <c r="J340" t="s">
        <v>18</v>
      </c>
      <c r="K340" t="s">
        <v>30</v>
      </c>
      <c r="L340" t="s">
        <v>20</v>
      </c>
      <c r="M340" t="s">
        <v>21</v>
      </c>
      <c r="N340" t="s">
        <v>479</v>
      </c>
      <c r="O340">
        <v>6000</v>
      </c>
    </row>
    <row r="341" spans="1:15" x14ac:dyDescent="0.25">
      <c r="A341" s="9" t="s">
        <v>822</v>
      </c>
      <c r="B341" t="s">
        <v>372</v>
      </c>
      <c r="C341" t="s">
        <v>34</v>
      </c>
      <c r="D341" t="s">
        <v>14</v>
      </c>
      <c r="E341" t="s">
        <v>54</v>
      </c>
      <c r="F341" t="s">
        <v>25</v>
      </c>
      <c r="G341" s="8">
        <v>45483</v>
      </c>
      <c r="H341" s="8">
        <v>45303</v>
      </c>
      <c r="I341" t="s">
        <v>17</v>
      </c>
      <c r="J341" t="s">
        <v>18</v>
      </c>
      <c r="K341" t="s">
        <v>26</v>
      </c>
      <c r="L341" t="s">
        <v>20</v>
      </c>
      <c r="M341" t="s">
        <v>21</v>
      </c>
      <c r="N341" t="s">
        <v>479</v>
      </c>
      <c r="O341">
        <v>6000</v>
      </c>
    </row>
    <row r="342" spans="1:15" x14ac:dyDescent="0.25">
      <c r="A342" s="9" t="s">
        <v>823</v>
      </c>
      <c r="B342" t="s">
        <v>373</v>
      </c>
      <c r="C342" t="s">
        <v>13</v>
      </c>
      <c r="D342" t="s">
        <v>14</v>
      </c>
      <c r="E342" t="s">
        <v>54</v>
      </c>
      <c r="F342" t="s">
        <v>25</v>
      </c>
      <c r="G342" s="8">
        <v>45484</v>
      </c>
      <c r="H342" s="8">
        <v>45304</v>
      </c>
      <c r="I342" t="s">
        <v>58</v>
      </c>
      <c r="J342" t="s">
        <v>18</v>
      </c>
      <c r="K342" t="s">
        <v>19</v>
      </c>
      <c r="L342" t="s">
        <v>20</v>
      </c>
      <c r="M342" t="s">
        <v>21</v>
      </c>
      <c r="N342" t="s">
        <v>479</v>
      </c>
      <c r="O342">
        <v>6000</v>
      </c>
    </row>
    <row r="343" spans="1:15" x14ac:dyDescent="0.25">
      <c r="A343" s="9" t="s">
        <v>824</v>
      </c>
      <c r="B343" t="s">
        <v>374</v>
      </c>
      <c r="C343" t="s">
        <v>13</v>
      </c>
      <c r="D343" t="s">
        <v>14</v>
      </c>
      <c r="E343" t="s">
        <v>54</v>
      </c>
      <c r="F343" t="s">
        <v>25</v>
      </c>
      <c r="G343" s="8">
        <v>45484</v>
      </c>
      <c r="H343" s="8">
        <v>45304</v>
      </c>
      <c r="I343" t="s">
        <v>17</v>
      </c>
      <c r="J343" t="s">
        <v>18</v>
      </c>
      <c r="K343" t="s">
        <v>26</v>
      </c>
      <c r="L343" t="s">
        <v>20</v>
      </c>
      <c r="M343" t="s">
        <v>21</v>
      </c>
      <c r="N343" t="s">
        <v>479</v>
      </c>
      <c r="O343">
        <v>6000</v>
      </c>
    </row>
    <row r="344" spans="1:15" x14ac:dyDescent="0.25">
      <c r="A344" s="9" t="s">
        <v>825</v>
      </c>
      <c r="B344" t="s">
        <v>375</v>
      </c>
      <c r="C344" t="s">
        <v>129</v>
      </c>
      <c r="D344" t="s">
        <v>14</v>
      </c>
      <c r="E344" t="s">
        <v>54</v>
      </c>
      <c r="F344" t="s">
        <v>25</v>
      </c>
      <c r="G344" s="8">
        <v>45484</v>
      </c>
      <c r="H344" s="8">
        <v>45304</v>
      </c>
      <c r="I344" t="s">
        <v>17</v>
      </c>
      <c r="J344" t="s">
        <v>18</v>
      </c>
      <c r="K344" t="s">
        <v>30</v>
      </c>
      <c r="L344" t="s">
        <v>20</v>
      </c>
      <c r="M344" t="s">
        <v>21</v>
      </c>
      <c r="N344" t="s">
        <v>479</v>
      </c>
      <c r="O344">
        <v>6000</v>
      </c>
    </row>
    <row r="345" spans="1:15" x14ac:dyDescent="0.25">
      <c r="A345" s="9" t="s">
        <v>826</v>
      </c>
      <c r="B345" t="s">
        <v>376</v>
      </c>
      <c r="C345" t="s">
        <v>34</v>
      </c>
      <c r="D345" t="s">
        <v>14</v>
      </c>
      <c r="E345" t="s">
        <v>54</v>
      </c>
      <c r="F345" t="s">
        <v>25</v>
      </c>
      <c r="G345" s="8">
        <v>45484</v>
      </c>
      <c r="H345" s="8">
        <v>45304</v>
      </c>
      <c r="I345" t="s">
        <v>17</v>
      </c>
      <c r="J345" t="s">
        <v>18</v>
      </c>
      <c r="K345" t="s">
        <v>19</v>
      </c>
      <c r="L345" t="s">
        <v>20</v>
      </c>
      <c r="M345" t="s">
        <v>21</v>
      </c>
      <c r="N345" t="s">
        <v>479</v>
      </c>
      <c r="O345">
        <v>6000</v>
      </c>
    </row>
    <row r="346" spans="1:15" x14ac:dyDescent="0.25">
      <c r="A346" s="9" t="s">
        <v>827</v>
      </c>
      <c r="B346" t="s">
        <v>377</v>
      </c>
      <c r="C346" t="s">
        <v>28</v>
      </c>
      <c r="D346" t="s">
        <v>14</v>
      </c>
      <c r="E346" t="s">
        <v>54</v>
      </c>
      <c r="F346" t="s">
        <v>25</v>
      </c>
      <c r="G346" s="8">
        <v>45484</v>
      </c>
      <c r="H346" s="8">
        <v>45304</v>
      </c>
      <c r="I346" t="s">
        <v>17</v>
      </c>
      <c r="J346" t="s">
        <v>18</v>
      </c>
      <c r="K346" t="s">
        <v>30</v>
      </c>
      <c r="L346" t="s">
        <v>140</v>
      </c>
      <c r="M346" t="s">
        <v>37</v>
      </c>
      <c r="N346" t="s">
        <v>479</v>
      </c>
      <c r="O346">
        <v>6000</v>
      </c>
    </row>
    <row r="347" spans="1:15" x14ac:dyDescent="0.25">
      <c r="A347" s="9" t="s">
        <v>828</v>
      </c>
      <c r="B347" t="s">
        <v>378</v>
      </c>
      <c r="C347" t="s">
        <v>34</v>
      </c>
      <c r="D347" t="s">
        <v>14</v>
      </c>
      <c r="E347" t="s">
        <v>54</v>
      </c>
      <c r="F347" t="s">
        <v>25</v>
      </c>
      <c r="G347" s="8">
        <v>45484</v>
      </c>
      <c r="H347" s="8">
        <v>45304</v>
      </c>
      <c r="I347" t="s">
        <v>17</v>
      </c>
      <c r="J347" t="s">
        <v>18</v>
      </c>
      <c r="K347" t="s">
        <v>30</v>
      </c>
      <c r="L347" t="s">
        <v>80</v>
      </c>
      <c r="M347" t="s">
        <v>21</v>
      </c>
      <c r="N347" t="s">
        <v>479</v>
      </c>
      <c r="O347">
        <v>6000</v>
      </c>
    </row>
    <row r="348" spans="1:15" x14ac:dyDescent="0.25">
      <c r="A348" s="9" t="s">
        <v>829</v>
      </c>
      <c r="B348" t="s">
        <v>379</v>
      </c>
      <c r="C348" t="s">
        <v>28</v>
      </c>
      <c r="D348" t="s">
        <v>14</v>
      </c>
      <c r="E348" t="s">
        <v>54</v>
      </c>
      <c r="F348" t="s">
        <v>25</v>
      </c>
      <c r="G348" s="8">
        <v>45484</v>
      </c>
      <c r="H348" s="8">
        <v>45304</v>
      </c>
      <c r="I348" t="s">
        <v>17</v>
      </c>
      <c r="J348" t="s">
        <v>18</v>
      </c>
      <c r="K348" t="s">
        <v>30</v>
      </c>
      <c r="L348" t="s">
        <v>162</v>
      </c>
      <c r="M348" t="s">
        <v>163</v>
      </c>
      <c r="N348" t="s">
        <v>479</v>
      </c>
      <c r="O348">
        <v>6000</v>
      </c>
    </row>
    <row r="349" spans="1:15" x14ac:dyDescent="0.25">
      <c r="A349" s="9" t="s">
        <v>830</v>
      </c>
      <c r="B349" t="s">
        <v>380</v>
      </c>
      <c r="C349" t="s">
        <v>28</v>
      </c>
      <c r="D349" t="s">
        <v>14</v>
      </c>
      <c r="E349" t="s">
        <v>54</v>
      </c>
      <c r="F349" t="s">
        <v>25</v>
      </c>
      <c r="G349" s="8">
        <v>45485</v>
      </c>
      <c r="H349" s="8">
        <v>45305</v>
      </c>
      <c r="I349" t="s">
        <v>17</v>
      </c>
      <c r="J349" t="s">
        <v>18</v>
      </c>
      <c r="K349" t="s">
        <v>19</v>
      </c>
      <c r="L349" t="s">
        <v>109</v>
      </c>
      <c r="M349" t="s">
        <v>40</v>
      </c>
      <c r="N349" t="s">
        <v>479</v>
      </c>
      <c r="O349">
        <v>6000</v>
      </c>
    </row>
    <row r="350" spans="1:15" x14ac:dyDescent="0.25">
      <c r="A350" s="9" t="s">
        <v>831</v>
      </c>
      <c r="B350" t="s">
        <v>381</v>
      </c>
      <c r="C350" t="s">
        <v>28</v>
      </c>
      <c r="D350" t="s">
        <v>14</v>
      </c>
      <c r="E350" t="s">
        <v>54</v>
      </c>
      <c r="F350" t="s">
        <v>25</v>
      </c>
      <c r="G350" s="8">
        <v>45487</v>
      </c>
      <c r="H350" s="8">
        <v>45307</v>
      </c>
      <c r="I350" t="s">
        <v>58</v>
      </c>
      <c r="J350" t="s">
        <v>29</v>
      </c>
      <c r="K350" t="s">
        <v>19</v>
      </c>
      <c r="L350" t="s">
        <v>20</v>
      </c>
      <c r="M350" t="s">
        <v>21</v>
      </c>
      <c r="N350" t="s">
        <v>479</v>
      </c>
      <c r="O350">
        <v>6000</v>
      </c>
    </row>
    <row r="351" spans="1:15" x14ac:dyDescent="0.25">
      <c r="A351" s="9" t="s">
        <v>832</v>
      </c>
      <c r="B351" t="s">
        <v>382</v>
      </c>
      <c r="C351" t="s">
        <v>28</v>
      </c>
      <c r="D351" t="s">
        <v>14</v>
      </c>
      <c r="E351" t="s">
        <v>54</v>
      </c>
      <c r="F351" t="s">
        <v>25</v>
      </c>
      <c r="G351" s="8">
        <v>45488</v>
      </c>
      <c r="H351" s="8">
        <v>45308</v>
      </c>
      <c r="I351" t="s">
        <v>58</v>
      </c>
      <c r="J351" t="s">
        <v>18</v>
      </c>
      <c r="K351" t="s">
        <v>44</v>
      </c>
      <c r="L351" t="s">
        <v>137</v>
      </c>
      <c r="M351" t="s">
        <v>21</v>
      </c>
      <c r="N351" t="s">
        <v>479</v>
      </c>
      <c r="O351">
        <v>6000</v>
      </c>
    </row>
    <row r="352" spans="1:15" x14ac:dyDescent="0.25">
      <c r="A352" s="9" t="s">
        <v>833</v>
      </c>
      <c r="B352" t="s">
        <v>383</v>
      </c>
      <c r="C352" t="s">
        <v>129</v>
      </c>
      <c r="D352" t="s">
        <v>14</v>
      </c>
      <c r="E352" t="s">
        <v>54</v>
      </c>
      <c r="F352" t="s">
        <v>25</v>
      </c>
      <c r="G352" s="8">
        <v>45488</v>
      </c>
      <c r="H352" s="8">
        <v>45308</v>
      </c>
      <c r="I352" t="s">
        <v>17</v>
      </c>
      <c r="J352" t="s">
        <v>18</v>
      </c>
      <c r="K352" t="s">
        <v>19</v>
      </c>
      <c r="L352" t="s">
        <v>20</v>
      </c>
      <c r="M352" t="s">
        <v>21</v>
      </c>
      <c r="N352" t="s">
        <v>479</v>
      </c>
      <c r="O352">
        <v>6000</v>
      </c>
    </row>
    <row r="353" spans="1:15" x14ac:dyDescent="0.25">
      <c r="A353" s="9" t="s">
        <v>834</v>
      </c>
      <c r="B353" t="s">
        <v>384</v>
      </c>
      <c r="C353" t="s">
        <v>34</v>
      </c>
      <c r="D353" t="s">
        <v>14</v>
      </c>
      <c r="E353" t="s">
        <v>54</v>
      </c>
      <c r="F353" t="s">
        <v>25</v>
      </c>
      <c r="G353" s="8">
        <v>45488</v>
      </c>
      <c r="H353" s="8">
        <v>45308</v>
      </c>
      <c r="I353" t="s">
        <v>17</v>
      </c>
      <c r="J353" t="s">
        <v>18</v>
      </c>
      <c r="K353" t="s">
        <v>77</v>
      </c>
      <c r="L353" t="s">
        <v>137</v>
      </c>
      <c r="M353" t="s">
        <v>21</v>
      </c>
      <c r="N353" t="s">
        <v>479</v>
      </c>
      <c r="O353">
        <v>6000</v>
      </c>
    </row>
    <row r="354" spans="1:15" x14ac:dyDescent="0.25">
      <c r="A354" s="9" t="s">
        <v>835</v>
      </c>
      <c r="B354" t="s">
        <v>385</v>
      </c>
      <c r="C354" t="s">
        <v>13</v>
      </c>
      <c r="D354" t="s">
        <v>14</v>
      </c>
      <c r="E354" t="s">
        <v>54</v>
      </c>
      <c r="F354" t="s">
        <v>25</v>
      </c>
      <c r="G354" s="8">
        <v>45488</v>
      </c>
      <c r="H354" s="8">
        <v>45308</v>
      </c>
      <c r="I354" t="s">
        <v>17</v>
      </c>
      <c r="J354" t="s">
        <v>18</v>
      </c>
      <c r="K354" t="s">
        <v>30</v>
      </c>
      <c r="L354" t="s">
        <v>137</v>
      </c>
      <c r="M354" t="s">
        <v>21</v>
      </c>
      <c r="N354" t="s">
        <v>479</v>
      </c>
      <c r="O354">
        <v>6000</v>
      </c>
    </row>
    <row r="355" spans="1:15" x14ac:dyDescent="0.25">
      <c r="A355" s="9" t="s">
        <v>836</v>
      </c>
      <c r="B355" t="s">
        <v>386</v>
      </c>
      <c r="C355" t="s">
        <v>13</v>
      </c>
      <c r="D355" t="s">
        <v>14</v>
      </c>
      <c r="E355" t="s">
        <v>54</v>
      </c>
      <c r="F355" t="s">
        <v>25</v>
      </c>
      <c r="G355" s="8">
        <v>45488</v>
      </c>
      <c r="H355" s="8">
        <v>45308</v>
      </c>
      <c r="I355" t="s">
        <v>17</v>
      </c>
      <c r="J355" t="s">
        <v>18</v>
      </c>
      <c r="K355" t="s">
        <v>26</v>
      </c>
      <c r="L355" t="s">
        <v>66</v>
      </c>
      <c r="M355" t="s">
        <v>37</v>
      </c>
      <c r="N355" t="s">
        <v>479</v>
      </c>
      <c r="O355">
        <v>6000</v>
      </c>
    </row>
    <row r="356" spans="1:15" x14ac:dyDescent="0.25">
      <c r="A356" s="9" t="s">
        <v>837</v>
      </c>
      <c r="B356" t="s">
        <v>387</v>
      </c>
      <c r="C356" t="s">
        <v>129</v>
      </c>
      <c r="D356" t="s">
        <v>14</v>
      </c>
      <c r="E356" t="s">
        <v>54</v>
      </c>
      <c r="F356" t="s">
        <v>25</v>
      </c>
      <c r="G356" s="8">
        <v>45491</v>
      </c>
      <c r="H356" s="8">
        <v>45311</v>
      </c>
      <c r="I356" t="s">
        <v>17</v>
      </c>
      <c r="J356" t="s">
        <v>29</v>
      </c>
      <c r="K356" t="s">
        <v>52</v>
      </c>
      <c r="L356" t="s">
        <v>20</v>
      </c>
      <c r="M356" t="s">
        <v>21</v>
      </c>
      <c r="N356" t="s">
        <v>479</v>
      </c>
      <c r="O356">
        <v>6000</v>
      </c>
    </row>
    <row r="357" spans="1:15" x14ac:dyDescent="0.25">
      <c r="A357" s="9" t="s">
        <v>838</v>
      </c>
      <c r="B357" t="s">
        <v>388</v>
      </c>
      <c r="C357" t="s">
        <v>34</v>
      </c>
      <c r="D357" t="s">
        <v>14</v>
      </c>
      <c r="E357" t="s">
        <v>54</v>
      </c>
      <c r="F357" t="s">
        <v>25</v>
      </c>
      <c r="G357" s="8">
        <v>45492</v>
      </c>
      <c r="H357" s="8">
        <v>45312</v>
      </c>
      <c r="I357" t="s">
        <v>17</v>
      </c>
      <c r="J357" t="s">
        <v>18</v>
      </c>
      <c r="K357" t="s">
        <v>30</v>
      </c>
      <c r="L357" t="s">
        <v>20</v>
      </c>
      <c r="M357" t="s">
        <v>21</v>
      </c>
      <c r="N357" t="s">
        <v>479</v>
      </c>
      <c r="O357">
        <v>6000</v>
      </c>
    </row>
    <row r="358" spans="1:15" x14ac:dyDescent="0.25">
      <c r="A358" s="9" t="s">
        <v>839</v>
      </c>
      <c r="B358" t="s">
        <v>99</v>
      </c>
      <c r="C358" t="s">
        <v>28</v>
      </c>
      <c r="D358" t="s">
        <v>14</v>
      </c>
      <c r="E358" t="s">
        <v>54</v>
      </c>
      <c r="F358" t="s">
        <v>25</v>
      </c>
      <c r="G358" s="8">
        <v>45492</v>
      </c>
      <c r="H358" s="8">
        <v>45312</v>
      </c>
      <c r="I358" t="s">
        <v>17</v>
      </c>
      <c r="J358" t="s">
        <v>18</v>
      </c>
      <c r="K358" t="s">
        <v>30</v>
      </c>
      <c r="L358" t="s">
        <v>20</v>
      </c>
      <c r="M358" t="s">
        <v>21</v>
      </c>
      <c r="N358" t="s">
        <v>479</v>
      </c>
      <c r="O358">
        <v>6000</v>
      </c>
    </row>
    <row r="359" spans="1:15" x14ac:dyDescent="0.25">
      <c r="A359" s="9" t="s">
        <v>840</v>
      </c>
      <c r="B359" t="s">
        <v>389</v>
      </c>
      <c r="C359" t="s">
        <v>34</v>
      </c>
      <c r="D359" t="s">
        <v>14</v>
      </c>
      <c r="E359" t="s">
        <v>54</v>
      </c>
      <c r="F359" t="s">
        <v>25</v>
      </c>
      <c r="G359" s="8">
        <v>45492</v>
      </c>
      <c r="H359" s="8">
        <v>45312</v>
      </c>
      <c r="I359" t="s">
        <v>58</v>
      </c>
      <c r="J359" t="s">
        <v>18</v>
      </c>
      <c r="K359" t="s">
        <v>30</v>
      </c>
      <c r="L359" t="s">
        <v>137</v>
      </c>
      <c r="M359" t="s">
        <v>21</v>
      </c>
      <c r="N359" t="s">
        <v>479</v>
      </c>
      <c r="O359">
        <v>6000</v>
      </c>
    </row>
    <row r="360" spans="1:15" x14ac:dyDescent="0.25">
      <c r="A360" s="9" t="s">
        <v>841</v>
      </c>
      <c r="B360" t="s">
        <v>390</v>
      </c>
      <c r="C360" t="s">
        <v>13</v>
      </c>
      <c r="D360" t="s">
        <v>14</v>
      </c>
      <c r="E360" t="s">
        <v>54</v>
      </c>
      <c r="F360" t="s">
        <v>25</v>
      </c>
      <c r="G360" s="8">
        <v>45494</v>
      </c>
      <c r="H360" s="8">
        <v>45314</v>
      </c>
      <c r="I360" t="s">
        <v>58</v>
      </c>
      <c r="J360" t="s">
        <v>18</v>
      </c>
      <c r="K360" t="s">
        <v>77</v>
      </c>
      <c r="L360" t="s">
        <v>137</v>
      </c>
      <c r="M360" t="s">
        <v>21</v>
      </c>
      <c r="N360" t="s">
        <v>479</v>
      </c>
      <c r="O360">
        <v>6000</v>
      </c>
    </row>
    <row r="361" spans="1:15" x14ac:dyDescent="0.25">
      <c r="A361" s="9" t="s">
        <v>842</v>
      </c>
      <c r="B361" t="s">
        <v>391</v>
      </c>
      <c r="C361" t="s">
        <v>34</v>
      </c>
      <c r="D361" t="s">
        <v>14</v>
      </c>
      <c r="E361" t="s">
        <v>54</v>
      </c>
      <c r="F361" t="s">
        <v>25</v>
      </c>
      <c r="G361" s="8">
        <v>45494</v>
      </c>
      <c r="H361" s="8">
        <v>45314</v>
      </c>
      <c r="I361" t="s">
        <v>17</v>
      </c>
      <c r="J361" t="s">
        <v>18</v>
      </c>
      <c r="K361" t="s">
        <v>26</v>
      </c>
      <c r="L361" t="s">
        <v>20</v>
      </c>
      <c r="M361" t="s">
        <v>21</v>
      </c>
      <c r="N361" t="s">
        <v>479</v>
      </c>
      <c r="O361">
        <v>6000</v>
      </c>
    </row>
    <row r="362" spans="1:15" x14ac:dyDescent="0.25">
      <c r="A362" s="9" t="s">
        <v>843</v>
      </c>
      <c r="B362" t="s">
        <v>392</v>
      </c>
      <c r="C362" t="s">
        <v>129</v>
      </c>
      <c r="D362" t="s">
        <v>14</v>
      </c>
      <c r="E362" t="s">
        <v>54</v>
      </c>
      <c r="F362" t="s">
        <v>25</v>
      </c>
      <c r="G362" s="8">
        <v>45496</v>
      </c>
      <c r="H362" s="8">
        <v>45316</v>
      </c>
      <c r="I362" t="s">
        <v>17</v>
      </c>
      <c r="J362" t="s">
        <v>18</v>
      </c>
      <c r="K362" t="s">
        <v>19</v>
      </c>
      <c r="L362" t="s">
        <v>20</v>
      </c>
      <c r="M362" t="s">
        <v>21</v>
      </c>
      <c r="N362" t="s">
        <v>479</v>
      </c>
      <c r="O362">
        <v>6000</v>
      </c>
    </row>
    <row r="363" spans="1:15" x14ac:dyDescent="0.25">
      <c r="A363" s="9" t="s">
        <v>844</v>
      </c>
      <c r="B363" t="s">
        <v>393</v>
      </c>
      <c r="C363" t="s">
        <v>28</v>
      </c>
      <c r="D363" t="s">
        <v>14</v>
      </c>
      <c r="E363" t="s">
        <v>54</v>
      </c>
      <c r="F363" t="s">
        <v>25</v>
      </c>
      <c r="G363" s="8">
        <v>45496</v>
      </c>
      <c r="H363" s="8">
        <v>45316</v>
      </c>
      <c r="I363" t="s">
        <v>58</v>
      </c>
      <c r="J363" t="s">
        <v>18</v>
      </c>
      <c r="K363" t="s">
        <v>19</v>
      </c>
      <c r="L363" t="s">
        <v>20</v>
      </c>
      <c r="M363" t="s">
        <v>21</v>
      </c>
      <c r="N363" t="s">
        <v>479</v>
      </c>
      <c r="O363">
        <v>6000</v>
      </c>
    </row>
    <row r="364" spans="1:15" x14ac:dyDescent="0.25">
      <c r="A364" s="9" t="s">
        <v>845</v>
      </c>
      <c r="B364" t="s">
        <v>394</v>
      </c>
      <c r="C364" t="s">
        <v>13</v>
      </c>
      <c r="D364" t="s">
        <v>14</v>
      </c>
      <c r="E364" t="s">
        <v>54</v>
      </c>
      <c r="F364" t="s">
        <v>25</v>
      </c>
      <c r="G364" s="8">
        <v>45499</v>
      </c>
      <c r="H364" s="8">
        <v>45319</v>
      </c>
      <c r="I364" t="s">
        <v>58</v>
      </c>
      <c r="J364" t="s">
        <v>29</v>
      </c>
      <c r="K364" t="s">
        <v>44</v>
      </c>
      <c r="L364" t="s">
        <v>20</v>
      </c>
      <c r="M364" t="s">
        <v>21</v>
      </c>
      <c r="N364" t="s">
        <v>479</v>
      </c>
      <c r="O364">
        <v>6000</v>
      </c>
    </row>
    <row r="365" spans="1:15" x14ac:dyDescent="0.25">
      <c r="A365" s="9" t="s">
        <v>846</v>
      </c>
      <c r="B365" t="s">
        <v>395</v>
      </c>
      <c r="C365" t="s">
        <v>34</v>
      </c>
      <c r="D365" t="s">
        <v>14</v>
      </c>
      <c r="E365" t="s">
        <v>54</v>
      </c>
      <c r="F365" t="s">
        <v>25</v>
      </c>
      <c r="G365" s="8">
        <v>45503</v>
      </c>
      <c r="H365" s="8">
        <v>45323</v>
      </c>
      <c r="I365" t="s">
        <v>17</v>
      </c>
      <c r="J365" t="s">
        <v>18</v>
      </c>
      <c r="K365" t="s">
        <v>26</v>
      </c>
      <c r="L365" t="s">
        <v>20</v>
      </c>
      <c r="M365" t="s">
        <v>21</v>
      </c>
      <c r="N365" t="s">
        <v>479</v>
      </c>
      <c r="O365">
        <v>6000</v>
      </c>
    </row>
    <row r="366" spans="1:15" x14ac:dyDescent="0.25">
      <c r="A366" s="9" t="s">
        <v>847</v>
      </c>
      <c r="B366" t="s">
        <v>396</v>
      </c>
      <c r="C366" t="s">
        <v>34</v>
      </c>
      <c r="D366" t="s">
        <v>14</v>
      </c>
      <c r="E366" t="s">
        <v>54</v>
      </c>
      <c r="F366" t="s">
        <v>25</v>
      </c>
      <c r="G366" s="8">
        <v>45505</v>
      </c>
      <c r="H366" s="8">
        <v>45325</v>
      </c>
      <c r="I366" t="s">
        <v>17</v>
      </c>
      <c r="J366" t="s">
        <v>18</v>
      </c>
      <c r="K366" t="s">
        <v>30</v>
      </c>
      <c r="L366" t="s">
        <v>20</v>
      </c>
      <c r="M366" t="s">
        <v>21</v>
      </c>
      <c r="N366" t="s">
        <v>479</v>
      </c>
      <c r="O366">
        <v>6000</v>
      </c>
    </row>
    <row r="367" spans="1:15" x14ac:dyDescent="0.25">
      <c r="A367" s="9" t="s">
        <v>848</v>
      </c>
      <c r="B367" t="s">
        <v>397</v>
      </c>
      <c r="C367" t="s">
        <v>13</v>
      </c>
      <c r="D367" t="s">
        <v>14</v>
      </c>
      <c r="E367" t="s">
        <v>54</v>
      </c>
      <c r="F367" t="s">
        <v>25</v>
      </c>
      <c r="G367" s="8">
        <v>45506</v>
      </c>
      <c r="H367" s="8">
        <v>45326</v>
      </c>
      <c r="I367" t="s">
        <v>58</v>
      </c>
      <c r="J367" t="s">
        <v>18</v>
      </c>
      <c r="K367" t="s">
        <v>26</v>
      </c>
      <c r="L367" t="s">
        <v>137</v>
      </c>
      <c r="M367" t="s">
        <v>21</v>
      </c>
      <c r="N367" t="s">
        <v>479</v>
      </c>
      <c r="O367">
        <v>6000</v>
      </c>
    </row>
    <row r="368" spans="1:15" x14ac:dyDescent="0.25">
      <c r="A368" s="9" t="s">
        <v>849</v>
      </c>
      <c r="B368" t="s">
        <v>398</v>
      </c>
      <c r="C368" t="s">
        <v>13</v>
      </c>
      <c r="D368" t="s">
        <v>14</v>
      </c>
      <c r="E368" t="s">
        <v>54</v>
      </c>
      <c r="F368" t="s">
        <v>25</v>
      </c>
      <c r="G368" s="8">
        <v>45506</v>
      </c>
      <c r="H368" s="8">
        <v>45326</v>
      </c>
      <c r="I368" t="s">
        <v>58</v>
      </c>
      <c r="J368" t="s">
        <v>29</v>
      </c>
      <c r="K368" t="s">
        <v>19</v>
      </c>
      <c r="L368" t="s">
        <v>83</v>
      </c>
      <c r="M368" t="s">
        <v>37</v>
      </c>
      <c r="N368" t="s">
        <v>479</v>
      </c>
      <c r="O368">
        <v>6000</v>
      </c>
    </row>
    <row r="369" spans="1:15" x14ac:dyDescent="0.25">
      <c r="A369" s="9" t="s">
        <v>850</v>
      </c>
      <c r="B369" t="s">
        <v>399</v>
      </c>
      <c r="C369" t="s">
        <v>13</v>
      </c>
      <c r="D369" t="s">
        <v>14</v>
      </c>
      <c r="E369" t="s">
        <v>54</v>
      </c>
      <c r="F369" t="s">
        <v>25</v>
      </c>
      <c r="G369" s="8">
        <v>45506</v>
      </c>
      <c r="H369" s="8">
        <v>45326</v>
      </c>
      <c r="I369" t="s">
        <v>58</v>
      </c>
      <c r="J369" t="s">
        <v>18</v>
      </c>
      <c r="K369" t="s">
        <v>19</v>
      </c>
      <c r="L369" t="s">
        <v>137</v>
      </c>
      <c r="M369" t="s">
        <v>21</v>
      </c>
      <c r="N369" t="s">
        <v>479</v>
      </c>
      <c r="O369">
        <v>6000</v>
      </c>
    </row>
    <row r="370" spans="1:15" x14ac:dyDescent="0.25">
      <c r="A370" s="9" t="s">
        <v>851</v>
      </c>
      <c r="B370" t="s">
        <v>400</v>
      </c>
      <c r="C370" t="s">
        <v>13</v>
      </c>
      <c r="D370" t="s">
        <v>14</v>
      </c>
      <c r="E370" t="s">
        <v>54</v>
      </c>
      <c r="F370" t="s">
        <v>25</v>
      </c>
      <c r="G370" s="8">
        <v>45506</v>
      </c>
      <c r="H370" s="8">
        <v>45326</v>
      </c>
      <c r="I370" t="s">
        <v>17</v>
      </c>
      <c r="J370" t="s">
        <v>18</v>
      </c>
      <c r="K370" t="s">
        <v>19</v>
      </c>
      <c r="L370" t="s">
        <v>137</v>
      </c>
      <c r="M370" t="s">
        <v>21</v>
      </c>
      <c r="N370" t="s">
        <v>479</v>
      </c>
      <c r="O370">
        <v>6000</v>
      </c>
    </row>
    <row r="371" spans="1:15" x14ac:dyDescent="0.25">
      <c r="A371" s="9" t="s">
        <v>852</v>
      </c>
      <c r="B371" t="s">
        <v>401</v>
      </c>
      <c r="C371" t="s">
        <v>13</v>
      </c>
      <c r="D371" t="s">
        <v>14</v>
      </c>
      <c r="E371" t="s">
        <v>54</v>
      </c>
      <c r="F371" t="s">
        <v>25</v>
      </c>
      <c r="G371" s="8">
        <v>45506</v>
      </c>
      <c r="H371" s="8">
        <v>45326</v>
      </c>
      <c r="I371" t="s">
        <v>17</v>
      </c>
      <c r="J371" t="s">
        <v>18</v>
      </c>
      <c r="K371" t="s">
        <v>30</v>
      </c>
      <c r="L371" t="s">
        <v>66</v>
      </c>
      <c r="M371" t="s">
        <v>37</v>
      </c>
      <c r="N371" t="s">
        <v>479</v>
      </c>
      <c r="O371">
        <v>6000</v>
      </c>
    </row>
    <row r="372" spans="1:15" x14ac:dyDescent="0.25">
      <c r="A372" s="9" t="s">
        <v>853</v>
      </c>
      <c r="B372" t="s">
        <v>402</v>
      </c>
      <c r="C372" t="s">
        <v>13</v>
      </c>
      <c r="D372" t="s">
        <v>14</v>
      </c>
      <c r="E372" t="s">
        <v>54</v>
      </c>
      <c r="F372" t="s">
        <v>25</v>
      </c>
      <c r="G372" s="8">
        <v>45506</v>
      </c>
      <c r="H372" s="8">
        <v>45326</v>
      </c>
      <c r="I372" t="s">
        <v>17</v>
      </c>
      <c r="J372" t="s">
        <v>18</v>
      </c>
      <c r="K372" t="s">
        <v>26</v>
      </c>
      <c r="L372" t="s">
        <v>66</v>
      </c>
      <c r="M372" t="s">
        <v>37</v>
      </c>
      <c r="N372" t="s">
        <v>479</v>
      </c>
      <c r="O372">
        <v>6000</v>
      </c>
    </row>
    <row r="373" spans="1:15" x14ac:dyDescent="0.25">
      <c r="A373" s="9" t="s">
        <v>854</v>
      </c>
      <c r="B373" t="s">
        <v>403</v>
      </c>
      <c r="C373" t="s">
        <v>13</v>
      </c>
      <c r="D373" t="s">
        <v>14</v>
      </c>
      <c r="E373" t="s">
        <v>54</v>
      </c>
      <c r="F373" t="s">
        <v>25</v>
      </c>
      <c r="G373" s="8">
        <v>45506</v>
      </c>
      <c r="H373" s="8">
        <v>45326</v>
      </c>
      <c r="I373" t="s">
        <v>17</v>
      </c>
      <c r="J373" t="s">
        <v>18</v>
      </c>
      <c r="K373" t="s">
        <v>19</v>
      </c>
      <c r="L373" t="s">
        <v>36</v>
      </c>
      <c r="M373" t="s">
        <v>37</v>
      </c>
      <c r="N373" t="s">
        <v>479</v>
      </c>
      <c r="O373">
        <v>6000</v>
      </c>
    </row>
    <row r="374" spans="1:15" x14ac:dyDescent="0.25">
      <c r="A374" s="9" t="s">
        <v>855</v>
      </c>
      <c r="B374" t="s">
        <v>404</v>
      </c>
      <c r="C374" t="s">
        <v>13</v>
      </c>
      <c r="D374" t="s">
        <v>14</v>
      </c>
      <c r="E374" t="s">
        <v>54</v>
      </c>
      <c r="F374" t="s">
        <v>25</v>
      </c>
      <c r="G374" s="8">
        <v>45506</v>
      </c>
      <c r="H374" s="8">
        <v>45326</v>
      </c>
      <c r="I374" t="s">
        <v>58</v>
      </c>
      <c r="J374" t="s">
        <v>18</v>
      </c>
      <c r="K374" t="s">
        <v>26</v>
      </c>
      <c r="L374" t="s">
        <v>137</v>
      </c>
      <c r="M374" t="s">
        <v>21</v>
      </c>
      <c r="N374" t="s">
        <v>479</v>
      </c>
      <c r="O374">
        <v>6000</v>
      </c>
    </row>
    <row r="375" spans="1:15" x14ac:dyDescent="0.25">
      <c r="A375" s="9" t="s">
        <v>856</v>
      </c>
      <c r="B375" t="s">
        <v>405</v>
      </c>
      <c r="C375" t="s">
        <v>13</v>
      </c>
      <c r="D375" t="s">
        <v>14</v>
      </c>
      <c r="E375" t="s">
        <v>54</v>
      </c>
      <c r="F375" t="s">
        <v>25</v>
      </c>
      <c r="G375" s="8">
        <v>45506</v>
      </c>
      <c r="H375" s="8">
        <v>45326</v>
      </c>
      <c r="I375" t="s">
        <v>17</v>
      </c>
      <c r="J375" t="s">
        <v>18</v>
      </c>
      <c r="K375" t="s">
        <v>19</v>
      </c>
      <c r="L375" t="s">
        <v>20</v>
      </c>
      <c r="M375" t="s">
        <v>21</v>
      </c>
      <c r="N375" t="s">
        <v>479</v>
      </c>
      <c r="O375">
        <v>6000</v>
      </c>
    </row>
    <row r="376" spans="1:15" x14ac:dyDescent="0.25">
      <c r="A376" s="9" t="s">
        <v>857</v>
      </c>
      <c r="B376" t="s">
        <v>406</v>
      </c>
      <c r="C376" t="s">
        <v>13</v>
      </c>
      <c r="D376" t="s">
        <v>14</v>
      </c>
      <c r="E376" t="s">
        <v>54</v>
      </c>
      <c r="F376" t="s">
        <v>25</v>
      </c>
      <c r="G376" s="8">
        <v>45506</v>
      </c>
      <c r="H376" s="8">
        <v>45326</v>
      </c>
      <c r="I376" t="s">
        <v>17</v>
      </c>
      <c r="J376" t="s">
        <v>18</v>
      </c>
      <c r="K376" t="s">
        <v>30</v>
      </c>
      <c r="L376" t="s">
        <v>303</v>
      </c>
      <c r="M376" t="s">
        <v>37</v>
      </c>
      <c r="N376" t="s">
        <v>479</v>
      </c>
      <c r="O376">
        <v>6000</v>
      </c>
    </row>
    <row r="377" spans="1:15" x14ac:dyDescent="0.25">
      <c r="A377" s="9" t="s">
        <v>858</v>
      </c>
      <c r="B377" t="s">
        <v>407</v>
      </c>
      <c r="C377" t="s">
        <v>28</v>
      </c>
      <c r="D377" t="s">
        <v>14</v>
      </c>
      <c r="E377" t="s">
        <v>54</v>
      </c>
      <c r="F377" t="s">
        <v>25</v>
      </c>
      <c r="G377" s="8">
        <v>45507</v>
      </c>
      <c r="H377" s="8">
        <v>45327</v>
      </c>
      <c r="I377" t="s">
        <v>17</v>
      </c>
      <c r="J377" t="s">
        <v>18</v>
      </c>
      <c r="K377" t="s">
        <v>30</v>
      </c>
      <c r="L377" t="s">
        <v>80</v>
      </c>
      <c r="M377" t="s">
        <v>21</v>
      </c>
      <c r="N377" t="s">
        <v>479</v>
      </c>
      <c r="O377">
        <v>6000</v>
      </c>
    </row>
    <row r="378" spans="1:15" x14ac:dyDescent="0.25">
      <c r="A378" s="9" t="s">
        <v>859</v>
      </c>
      <c r="B378" t="s">
        <v>408</v>
      </c>
      <c r="C378" t="s">
        <v>129</v>
      </c>
      <c r="D378" t="s">
        <v>14</v>
      </c>
      <c r="E378" t="s">
        <v>54</v>
      </c>
      <c r="F378" t="s">
        <v>25</v>
      </c>
      <c r="G378" s="8">
        <v>45508</v>
      </c>
      <c r="H378" s="8">
        <v>45328</v>
      </c>
      <c r="I378" t="s">
        <v>58</v>
      </c>
      <c r="J378" t="s">
        <v>18</v>
      </c>
      <c r="K378" t="s">
        <v>77</v>
      </c>
      <c r="L378" t="s">
        <v>137</v>
      </c>
      <c r="M378" t="s">
        <v>21</v>
      </c>
      <c r="N378" t="s">
        <v>479</v>
      </c>
      <c r="O378">
        <v>6000</v>
      </c>
    </row>
    <row r="379" spans="1:15" x14ac:dyDescent="0.25">
      <c r="A379" s="9" t="s">
        <v>860</v>
      </c>
      <c r="B379" t="s">
        <v>409</v>
      </c>
      <c r="C379" t="s">
        <v>28</v>
      </c>
      <c r="D379" t="s">
        <v>14</v>
      </c>
      <c r="E379" t="s">
        <v>54</v>
      </c>
      <c r="F379" t="s">
        <v>25</v>
      </c>
      <c r="G379" s="8">
        <v>45508</v>
      </c>
      <c r="H379" s="8">
        <v>45328</v>
      </c>
      <c r="I379" t="s">
        <v>17</v>
      </c>
      <c r="J379" t="s">
        <v>18</v>
      </c>
      <c r="K379" t="s">
        <v>44</v>
      </c>
      <c r="L379" t="s">
        <v>66</v>
      </c>
      <c r="M379" t="s">
        <v>37</v>
      </c>
      <c r="N379" t="s">
        <v>479</v>
      </c>
      <c r="O379">
        <v>6000</v>
      </c>
    </row>
    <row r="380" spans="1:15" x14ac:dyDescent="0.25">
      <c r="A380" s="9" t="s">
        <v>861</v>
      </c>
      <c r="B380" t="s">
        <v>410</v>
      </c>
      <c r="C380" t="s">
        <v>34</v>
      </c>
      <c r="D380" t="s">
        <v>14</v>
      </c>
      <c r="E380" t="s">
        <v>54</v>
      </c>
      <c r="F380" t="s">
        <v>25</v>
      </c>
      <c r="G380" s="8">
        <v>45508</v>
      </c>
      <c r="H380" s="8">
        <v>45328</v>
      </c>
      <c r="I380" t="s">
        <v>17</v>
      </c>
      <c r="J380" t="s">
        <v>18</v>
      </c>
      <c r="K380" t="s">
        <v>26</v>
      </c>
      <c r="L380" t="s">
        <v>20</v>
      </c>
      <c r="M380" t="s">
        <v>21</v>
      </c>
      <c r="N380" t="s">
        <v>479</v>
      </c>
      <c r="O380">
        <v>6000</v>
      </c>
    </row>
    <row r="381" spans="1:15" x14ac:dyDescent="0.25">
      <c r="A381" s="9" t="s">
        <v>862</v>
      </c>
      <c r="B381" t="s">
        <v>411</v>
      </c>
      <c r="C381" t="s">
        <v>28</v>
      </c>
      <c r="D381" t="s">
        <v>14</v>
      </c>
      <c r="E381" t="s">
        <v>54</v>
      </c>
      <c r="F381" t="s">
        <v>25</v>
      </c>
      <c r="G381" s="8">
        <v>45508</v>
      </c>
      <c r="H381" s="8">
        <v>45328</v>
      </c>
      <c r="I381" t="s">
        <v>17</v>
      </c>
      <c r="J381" t="s">
        <v>18</v>
      </c>
      <c r="K381" t="s">
        <v>30</v>
      </c>
      <c r="L381" t="s">
        <v>80</v>
      </c>
      <c r="M381" t="s">
        <v>21</v>
      </c>
      <c r="N381" t="s">
        <v>479</v>
      </c>
      <c r="O381">
        <v>6000</v>
      </c>
    </row>
    <row r="382" spans="1:15" x14ac:dyDescent="0.25">
      <c r="A382" s="9" t="s">
        <v>863</v>
      </c>
      <c r="B382" t="s">
        <v>412</v>
      </c>
      <c r="C382" t="s">
        <v>895</v>
      </c>
      <c r="D382" t="s">
        <v>14</v>
      </c>
      <c r="E382" t="s">
        <v>54</v>
      </c>
      <c r="F382" t="s">
        <v>25</v>
      </c>
      <c r="G382" s="8">
        <v>45508</v>
      </c>
      <c r="H382" s="8">
        <v>45328</v>
      </c>
      <c r="I382" t="s">
        <v>17</v>
      </c>
      <c r="J382" t="s">
        <v>18</v>
      </c>
      <c r="K382" t="s">
        <v>44</v>
      </c>
      <c r="L382" t="s">
        <v>137</v>
      </c>
      <c r="M382" t="s">
        <v>21</v>
      </c>
      <c r="N382" t="s">
        <v>479</v>
      </c>
      <c r="O382">
        <v>6000</v>
      </c>
    </row>
    <row r="383" spans="1:15" x14ac:dyDescent="0.25">
      <c r="A383" s="9" t="s">
        <v>864</v>
      </c>
      <c r="B383" t="s">
        <v>413</v>
      </c>
      <c r="C383" t="s">
        <v>13</v>
      </c>
      <c r="D383" t="s">
        <v>14</v>
      </c>
      <c r="E383" t="s">
        <v>54</v>
      </c>
      <c r="F383" t="s">
        <v>25</v>
      </c>
      <c r="G383" s="8">
        <v>45508</v>
      </c>
      <c r="H383" s="8">
        <v>45328</v>
      </c>
      <c r="I383" t="s">
        <v>17</v>
      </c>
      <c r="J383" t="s">
        <v>18</v>
      </c>
      <c r="K383" t="s">
        <v>96</v>
      </c>
      <c r="L383" t="s">
        <v>109</v>
      </c>
      <c r="M383" t="s">
        <v>40</v>
      </c>
      <c r="N383" t="s">
        <v>479</v>
      </c>
      <c r="O383">
        <v>6000</v>
      </c>
    </row>
    <row r="384" spans="1:15" x14ac:dyDescent="0.25">
      <c r="A384" s="9" t="s">
        <v>865</v>
      </c>
      <c r="B384" t="s">
        <v>414</v>
      </c>
      <c r="C384" t="s">
        <v>13</v>
      </c>
      <c r="D384" t="s">
        <v>14</v>
      </c>
      <c r="E384" t="s">
        <v>54</v>
      </c>
      <c r="F384" t="s">
        <v>25</v>
      </c>
      <c r="G384" s="8">
        <v>45509</v>
      </c>
      <c r="H384" s="8">
        <v>45329</v>
      </c>
      <c r="I384" t="s">
        <v>58</v>
      </c>
      <c r="J384" t="s">
        <v>18</v>
      </c>
      <c r="K384" t="s">
        <v>19</v>
      </c>
      <c r="L384" t="s">
        <v>66</v>
      </c>
      <c r="M384" t="s">
        <v>37</v>
      </c>
      <c r="N384" t="s">
        <v>479</v>
      </c>
      <c r="O384">
        <v>6000</v>
      </c>
    </row>
    <row r="385" spans="1:15" x14ac:dyDescent="0.25">
      <c r="A385" s="9" t="s">
        <v>866</v>
      </c>
      <c r="B385" t="s">
        <v>415</v>
      </c>
      <c r="C385" t="s">
        <v>28</v>
      </c>
      <c r="D385" t="s">
        <v>14</v>
      </c>
      <c r="E385" t="s">
        <v>54</v>
      </c>
      <c r="F385" t="s">
        <v>25</v>
      </c>
      <c r="G385" s="8">
        <v>45509</v>
      </c>
      <c r="H385" s="8">
        <v>45329</v>
      </c>
      <c r="I385" t="s">
        <v>17</v>
      </c>
      <c r="J385" t="s">
        <v>18</v>
      </c>
      <c r="K385" t="s">
        <v>52</v>
      </c>
      <c r="L385" t="s">
        <v>80</v>
      </c>
      <c r="M385" t="s">
        <v>21</v>
      </c>
      <c r="N385" t="s">
        <v>479</v>
      </c>
      <c r="O385">
        <v>6000</v>
      </c>
    </row>
    <row r="386" spans="1:15" x14ac:dyDescent="0.25">
      <c r="A386" s="9" t="s">
        <v>867</v>
      </c>
      <c r="B386" t="s">
        <v>416</v>
      </c>
      <c r="C386" t="s">
        <v>34</v>
      </c>
      <c r="D386" t="s">
        <v>14</v>
      </c>
      <c r="E386" t="s">
        <v>54</v>
      </c>
      <c r="F386" t="s">
        <v>25</v>
      </c>
      <c r="G386" s="8">
        <v>45509</v>
      </c>
      <c r="H386" s="8">
        <v>45329</v>
      </c>
      <c r="I386" t="s">
        <v>17</v>
      </c>
      <c r="J386" t="s">
        <v>18</v>
      </c>
      <c r="K386" t="s">
        <v>19</v>
      </c>
      <c r="L386" t="s">
        <v>20</v>
      </c>
      <c r="M386" t="s">
        <v>21</v>
      </c>
      <c r="N386" t="s">
        <v>479</v>
      </c>
      <c r="O386">
        <v>6000</v>
      </c>
    </row>
    <row r="387" spans="1:15" x14ac:dyDescent="0.25">
      <c r="A387" s="9" t="s">
        <v>868</v>
      </c>
      <c r="B387" t="s">
        <v>417</v>
      </c>
      <c r="C387" t="s">
        <v>28</v>
      </c>
      <c r="D387" t="s">
        <v>14</v>
      </c>
      <c r="E387" t="s">
        <v>54</v>
      </c>
      <c r="F387" t="s">
        <v>25</v>
      </c>
      <c r="G387" s="8">
        <v>45509</v>
      </c>
      <c r="H387" s="8">
        <v>45329</v>
      </c>
      <c r="I387" t="s">
        <v>17</v>
      </c>
      <c r="J387" t="s">
        <v>18</v>
      </c>
      <c r="K387" t="s">
        <v>19</v>
      </c>
      <c r="L387" t="s">
        <v>20</v>
      </c>
      <c r="M387" t="s">
        <v>21</v>
      </c>
      <c r="N387" t="s">
        <v>479</v>
      </c>
      <c r="O387">
        <v>6000</v>
      </c>
    </row>
    <row r="388" spans="1:15" x14ac:dyDescent="0.25">
      <c r="A388" s="9" t="s">
        <v>869</v>
      </c>
      <c r="B388" t="s">
        <v>418</v>
      </c>
      <c r="C388" t="s">
        <v>28</v>
      </c>
      <c r="D388" t="s">
        <v>14</v>
      </c>
      <c r="E388" t="s">
        <v>54</v>
      </c>
      <c r="F388" t="s">
        <v>25</v>
      </c>
      <c r="G388" s="8">
        <v>45509</v>
      </c>
      <c r="H388" s="8">
        <v>45329</v>
      </c>
      <c r="I388" t="s">
        <v>58</v>
      </c>
      <c r="J388" t="s">
        <v>18</v>
      </c>
      <c r="K388" t="s">
        <v>19</v>
      </c>
      <c r="L388" t="s">
        <v>80</v>
      </c>
      <c r="M388" t="s">
        <v>21</v>
      </c>
      <c r="N388" t="s">
        <v>479</v>
      </c>
      <c r="O388">
        <v>6000</v>
      </c>
    </row>
    <row r="389" spans="1:15" x14ac:dyDescent="0.25">
      <c r="A389" s="9" t="s">
        <v>870</v>
      </c>
      <c r="B389" t="s">
        <v>419</v>
      </c>
      <c r="C389" t="s">
        <v>13</v>
      </c>
      <c r="D389" t="s">
        <v>14</v>
      </c>
      <c r="E389" t="s">
        <v>54</v>
      </c>
      <c r="F389" t="s">
        <v>25</v>
      </c>
      <c r="G389" s="8">
        <v>45509</v>
      </c>
      <c r="H389" s="8">
        <v>45329</v>
      </c>
      <c r="I389" t="s">
        <v>17</v>
      </c>
      <c r="J389" t="s">
        <v>18</v>
      </c>
      <c r="K389" t="s">
        <v>26</v>
      </c>
      <c r="L389" t="s">
        <v>20</v>
      </c>
      <c r="M389" t="s">
        <v>21</v>
      </c>
      <c r="N389" t="s">
        <v>479</v>
      </c>
      <c r="O389">
        <v>6000</v>
      </c>
    </row>
    <row r="390" spans="1:15" x14ac:dyDescent="0.25">
      <c r="A390" s="9" t="s">
        <v>871</v>
      </c>
      <c r="B390" t="s">
        <v>420</v>
      </c>
      <c r="C390" t="s">
        <v>13</v>
      </c>
      <c r="D390" t="s">
        <v>14</v>
      </c>
      <c r="E390" t="s">
        <v>54</v>
      </c>
      <c r="F390" t="s">
        <v>25</v>
      </c>
      <c r="G390" s="8">
        <v>45509</v>
      </c>
      <c r="H390" s="8">
        <v>45329</v>
      </c>
      <c r="I390" t="s">
        <v>17</v>
      </c>
      <c r="J390" t="s">
        <v>18</v>
      </c>
      <c r="K390" t="s">
        <v>30</v>
      </c>
      <c r="L390" t="s">
        <v>109</v>
      </c>
      <c r="M390" t="s">
        <v>40</v>
      </c>
      <c r="N390" t="s">
        <v>479</v>
      </c>
      <c r="O390">
        <v>6000</v>
      </c>
    </row>
    <row r="391" spans="1:15" x14ac:dyDescent="0.25">
      <c r="A391" s="9" t="s">
        <v>872</v>
      </c>
      <c r="B391" t="s">
        <v>421</v>
      </c>
      <c r="C391" t="s">
        <v>13</v>
      </c>
      <c r="D391" t="s">
        <v>14</v>
      </c>
      <c r="E391" t="s">
        <v>54</v>
      </c>
      <c r="F391" t="s">
        <v>25</v>
      </c>
      <c r="G391" s="8">
        <v>45509</v>
      </c>
      <c r="H391" s="8">
        <v>45329</v>
      </c>
      <c r="I391" t="s">
        <v>17</v>
      </c>
      <c r="J391" t="s">
        <v>18</v>
      </c>
      <c r="K391" t="s">
        <v>19</v>
      </c>
      <c r="L391" t="s">
        <v>78</v>
      </c>
      <c r="M391" t="s">
        <v>37</v>
      </c>
      <c r="N391" t="s">
        <v>479</v>
      </c>
      <c r="O391">
        <v>6000</v>
      </c>
    </row>
    <row r="392" spans="1:15" x14ac:dyDescent="0.25">
      <c r="A392" s="9" t="s">
        <v>873</v>
      </c>
      <c r="B392" t="s">
        <v>422</v>
      </c>
      <c r="C392" t="s">
        <v>28</v>
      </c>
      <c r="D392" t="s">
        <v>14</v>
      </c>
      <c r="E392" t="s">
        <v>54</v>
      </c>
      <c r="F392" t="s">
        <v>25</v>
      </c>
      <c r="G392" s="8">
        <v>45510</v>
      </c>
      <c r="H392" s="8">
        <v>45330</v>
      </c>
      <c r="I392" t="s">
        <v>58</v>
      </c>
      <c r="J392" t="s">
        <v>18</v>
      </c>
      <c r="K392" t="s">
        <v>30</v>
      </c>
      <c r="L392" t="s">
        <v>20</v>
      </c>
      <c r="M392" t="s">
        <v>21</v>
      </c>
      <c r="N392" t="s">
        <v>479</v>
      </c>
      <c r="O392">
        <v>6000</v>
      </c>
    </row>
    <row r="393" spans="1:15" x14ac:dyDescent="0.25">
      <c r="A393" s="9" t="s">
        <v>874</v>
      </c>
      <c r="B393" t="s">
        <v>423</v>
      </c>
      <c r="C393" t="s">
        <v>129</v>
      </c>
      <c r="D393" t="s">
        <v>14</v>
      </c>
      <c r="E393" t="s">
        <v>54</v>
      </c>
      <c r="F393" t="s">
        <v>25</v>
      </c>
      <c r="G393" s="8">
        <v>45510</v>
      </c>
      <c r="H393" s="8">
        <v>45330</v>
      </c>
      <c r="I393" t="s">
        <v>17</v>
      </c>
      <c r="J393" t="s">
        <v>29</v>
      </c>
      <c r="K393" t="s">
        <v>26</v>
      </c>
      <c r="L393" t="s">
        <v>20</v>
      </c>
      <c r="M393" t="s">
        <v>21</v>
      </c>
      <c r="N393" t="s">
        <v>479</v>
      </c>
      <c r="O393">
        <v>6000</v>
      </c>
    </row>
    <row r="394" spans="1:15" x14ac:dyDescent="0.25">
      <c r="A394" s="9" t="s">
        <v>875</v>
      </c>
      <c r="B394" t="s">
        <v>424</v>
      </c>
      <c r="C394" t="s">
        <v>28</v>
      </c>
      <c r="D394" t="s">
        <v>14</v>
      </c>
      <c r="E394" t="s">
        <v>54</v>
      </c>
      <c r="F394" t="s">
        <v>25</v>
      </c>
      <c r="G394" s="8">
        <v>45510</v>
      </c>
      <c r="H394" s="8">
        <v>45330</v>
      </c>
      <c r="I394" t="s">
        <v>58</v>
      </c>
      <c r="J394" t="s">
        <v>18</v>
      </c>
      <c r="K394" t="s">
        <v>30</v>
      </c>
      <c r="L394" t="s">
        <v>20</v>
      </c>
      <c r="M394" t="s">
        <v>21</v>
      </c>
      <c r="N394" t="s">
        <v>479</v>
      </c>
      <c r="O394">
        <v>6000</v>
      </c>
    </row>
    <row r="395" spans="1:15" x14ac:dyDescent="0.25">
      <c r="A395" s="9" t="s">
        <v>876</v>
      </c>
      <c r="B395" t="s">
        <v>425</v>
      </c>
      <c r="C395" t="s">
        <v>34</v>
      </c>
      <c r="D395" t="s">
        <v>14</v>
      </c>
      <c r="E395" t="s">
        <v>54</v>
      </c>
      <c r="F395" t="s">
        <v>25</v>
      </c>
      <c r="G395" s="8">
        <v>45512</v>
      </c>
      <c r="H395" s="8">
        <v>45332</v>
      </c>
      <c r="I395" t="s">
        <v>58</v>
      </c>
      <c r="J395" t="s">
        <v>18</v>
      </c>
      <c r="K395" t="s">
        <v>19</v>
      </c>
      <c r="L395" t="s">
        <v>140</v>
      </c>
      <c r="M395" t="s">
        <v>37</v>
      </c>
      <c r="N395" t="s">
        <v>479</v>
      </c>
      <c r="O395">
        <v>6000</v>
      </c>
    </row>
    <row r="396" spans="1:15" x14ac:dyDescent="0.25">
      <c r="A396" s="9" t="s">
        <v>877</v>
      </c>
      <c r="B396" t="s">
        <v>426</v>
      </c>
      <c r="C396" t="s">
        <v>28</v>
      </c>
      <c r="D396" t="s">
        <v>14</v>
      </c>
      <c r="E396" t="s">
        <v>54</v>
      </c>
      <c r="F396" t="s">
        <v>25</v>
      </c>
      <c r="G396" s="8">
        <v>45512</v>
      </c>
      <c r="H396" s="8">
        <v>45332</v>
      </c>
      <c r="I396" t="s">
        <v>17</v>
      </c>
      <c r="J396" t="s">
        <v>18</v>
      </c>
      <c r="K396" t="s">
        <v>26</v>
      </c>
      <c r="L396" t="s">
        <v>66</v>
      </c>
      <c r="M396" t="s">
        <v>37</v>
      </c>
      <c r="N396" t="s">
        <v>479</v>
      </c>
      <c r="O396">
        <v>6000</v>
      </c>
    </row>
    <row r="397" spans="1:15" x14ac:dyDescent="0.25">
      <c r="A397" s="9" t="s">
        <v>878</v>
      </c>
      <c r="B397" t="s">
        <v>894</v>
      </c>
      <c r="C397" t="s">
        <v>895</v>
      </c>
      <c r="D397" t="s">
        <v>114</v>
      </c>
      <c r="E397" t="s">
        <v>24</v>
      </c>
      <c r="F397" t="s">
        <v>25</v>
      </c>
      <c r="G397" s="8">
        <v>45513</v>
      </c>
      <c r="H397" s="8">
        <v>45333</v>
      </c>
      <c r="I397" t="s">
        <v>17</v>
      </c>
      <c r="J397" t="s">
        <v>29</v>
      </c>
      <c r="K397" t="s">
        <v>30</v>
      </c>
      <c r="L397" t="s">
        <v>427</v>
      </c>
      <c r="M397" t="s">
        <v>40</v>
      </c>
      <c r="N397" t="s">
        <v>479</v>
      </c>
      <c r="O397">
        <v>6000</v>
      </c>
    </row>
    <row r="398" spans="1:15" x14ac:dyDescent="0.25">
      <c r="A398" s="9" t="s">
        <v>879</v>
      </c>
      <c r="B398" t="s">
        <v>428</v>
      </c>
      <c r="C398" t="s">
        <v>13</v>
      </c>
      <c r="D398" t="s">
        <v>14</v>
      </c>
      <c r="E398" t="s">
        <v>54</v>
      </c>
      <c r="F398" t="s">
        <v>25</v>
      </c>
      <c r="G398" s="8">
        <v>45514</v>
      </c>
      <c r="H398" s="8">
        <v>45334</v>
      </c>
      <c r="I398" t="s">
        <v>17</v>
      </c>
      <c r="J398" t="s">
        <v>18</v>
      </c>
      <c r="K398" t="s">
        <v>44</v>
      </c>
      <c r="L398" t="s">
        <v>78</v>
      </c>
      <c r="M398" t="s">
        <v>37</v>
      </c>
      <c r="N398" t="s">
        <v>479</v>
      </c>
      <c r="O398">
        <v>6000</v>
      </c>
    </row>
    <row r="399" spans="1:15" x14ac:dyDescent="0.25">
      <c r="A399" s="9" t="s">
        <v>880</v>
      </c>
      <c r="B399" t="s">
        <v>429</v>
      </c>
      <c r="C399" t="s">
        <v>13</v>
      </c>
      <c r="D399" t="s">
        <v>14</v>
      </c>
      <c r="E399" t="s">
        <v>54</v>
      </c>
      <c r="F399" t="s">
        <v>25</v>
      </c>
      <c r="G399" s="8">
        <v>45515</v>
      </c>
      <c r="H399" s="8">
        <v>45335</v>
      </c>
      <c r="I399" t="s">
        <v>58</v>
      </c>
      <c r="J399" t="s">
        <v>18</v>
      </c>
      <c r="K399" t="s">
        <v>271</v>
      </c>
      <c r="L399" t="s">
        <v>66</v>
      </c>
      <c r="M399" t="s">
        <v>37</v>
      </c>
      <c r="N399" t="s">
        <v>479</v>
      </c>
      <c r="O399">
        <v>6000</v>
      </c>
    </row>
    <row r="400" spans="1:15" x14ac:dyDescent="0.25">
      <c r="A400" s="9" t="s">
        <v>881</v>
      </c>
      <c r="B400" t="s">
        <v>295</v>
      </c>
      <c r="C400" t="s">
        <v>28</v>
      </c>
      <c r="D400" t="s">
        <v>14</v>
      </c>
      <c r="E400" t="s">
        <v>54</v>
      </c>
      <c r="F400" t="s">
        <v>25</v>
      </c>
      <c r="G400" s="8">
        <v>45517</v>
      </c>
      <c r="H400" s="8">
        <v>45337</v>
      </c>
      <c r="I400" t="s">
        <v>17</v>
      </c>
      <c r="J400" t="s">
        <v>18</v>
      </c>
      <c r="K400" t="s">
        <v>30</v>
      </c>
      <c r="L400" t="s">
        <v>140</v>
      </c>
      <c r="M400" t="s">
        <v>37</v>
      </c>
      <c r="N400" t="s">
        <v>479</v>
      </c>
      <c r="O400">
        <v>6000</v>
      </c>
    </row>
    <row r="401" spans="1:15" x14ac:dyDescent="0.25">
      <c r="A401" s="9" t="s">
        <v>882</v>
      </c>
      <c r="B401" t="s">
        <v>430</v>
      </c>
      <c r="C401" t="s">
        <v>34</v>
      </c>
      <c r="D401" t="s">
        <v>14</v>
      </c>
      <c r="E401" t="s">
        <v>54</v>
      </c>
      <c r="F401" t="s">
        <v>25</v>
      </c>
      <c r="G401" s="8">
        <v>45517</v>
      </c>
      <c r="H401" s="8">
        <v>45337</v>
      </c>
      <c r="I401" t="s">
        <v>58</v>
      </c>
      <c r="J401" t="s">
        <v>18</v>
      </c>
      <c r="K401" t="s">
        <v>30</v>
      </c>
      <c r="L401" t="s">
        <v>20</v>
      </c>
      <c r="M401" t="s">
        <v>21</v>
      </c>
      <c r="N401" t="s">
        <v>479</v>
      </c>
      <c r="O401">
        <v>6000</v>
      </c>
    </row>
    <row r="402" spans="1:15" x14ac:dyDescent="0.25">
      <c r="A402" s="9" t="s">
        <v>883</v>
      </c>
      <c r="B402" t="s">
        <v>431</v>
      </c>
      <c r="C402" t="s">
        <v>28</v>
      </c>
      <c r="D402" t="s">
        <v>14</v>
      </c>
      <c r="E402" t="s">
        <v>54</v>
      </c>
      <c r="F402" t="s">
        <v>25</v>
      </c>
      <c r="G402" s="8">
        <v>45517</v>
      </c>
      <c r="H402" s="8">
        <v>45337</v>
      </c>
      <c r="I402" t="s">
        <v>58</v>
      </c>
      <c r="J402" t="s">
        <v>18</v>
      </c>
      <c r="K402" t="s">
        <v>26</v>
      </c>
      <c r="L402" t="s">
        <v>694</v>
      </c>
      <c r="M402" t="s">
        <v>40</v>
      </c>
      <c r="N402" t="s">
        <v>479</v>
      </c>
      <c r="O402">
        <v>6000</v>
      </c>
    </row>
    <row r="403" spans="1:15" x14ac:dyDescent="0.25">
      <c r="A403" s="9" t="s">
        <v>884</v>
      </c>
      <c r="B403" t="s">
        <v>432</v>
      </c>
      <c r="C403" t="s">
        <v>28</v>
      </c>
      <c r="D403" t="s">
        <v>14</v>
      </c>
      <c r="E403" t="s">
        <v>54</v>
      </c>
      <c r="F403" t="s">
        <v>25</v>
      </c>
      <c r="G403" s="8">
        <v>45517</v>
      </c>
      <c r="H403" s="8">
        <v>45337</v>
      </c>
      <c r="I403" t="s">
        <v>58</v>
      </c>
      <c r="J403" t="s">
        <v>18</v>
      </c>
      <c r="K403" t="s">
        <v>19</v>
      </c>
      <c r="L403" t="s">
        <v>20</v>
      </c>
      <c r="M403" t="s">
        <v>21</v>
      </c>
      <c r="N403" t="s">
        <v>479</v>
      </c>
      <c r="O403">
        <v>30000</v>
      </c>
    </row>
    <row r="404" spans="1:15" x14ac:dyDescent="0.25">
      <c r="A404" s="9" t="s">
        <v>885</v>
      </c>
      <c r="B404" t="s">
        <v>433</v>
      </c>
      <c r="C404" t="s">
        <v>13</v>
      </c>
      <c r="D404" t="s">
        <v>14</v>
      </c>
      <c r="E404" t="s">
        <v>54</v>
      </c>
      <c r="F404" t="s">
        <v>25</v>
      </c>
      <c r="G404" s="8">
        <v>45517</v>
      </c>
      <c r="H404" s="8">
        <v>45337</v>
      </c>
      <c r="I404" t="s">
        <v>58</v>
      </c>
      <c r="J404" t="s">
        <v>18</v>
      </c>
      <c r="K404" t="s">
        <v>26</v>
      </c>
      <c r="L404" t="s">
        <v>140</v>
      </c>
      <c r="M404" t="s">
        <v>37</v>
      </c>
      <c r="N404" t="s">
        <v>479</v>
      </c>
      <c r="O404">
        <v>30000</v>
      </c>
    </row>
    <row r="405" spans="1:15" x14ac:dyDescent="0.25">
      <c r="A405" s="9" t="s">
        <v>886</v>
      </c>
      <c r="B405" t="s">
        <v>434</v>
      </c>
      <c r="C405" t="s">
        <v>34</v>
      </c>
      <c r="D405" t="s">
        <v>14</v>
      </c>
      <c r="E405" t="s">
        <v>54</v>
      </c>
      <c r="F405" t="s">
        <v>25</v>
      </c>
      <c r="G405" s="8">
        <v>45517</v>
      </c>
      <c r="H405" s="8">
        <v>45337</v>
      </c>
      <c r="I405" t="s">
        <v>58</v>
      </c>
      <c r="J405" t="s">
        <v>18</v>
      </c>
      <c r="K405" t="s">
        <v>19</v>
      </c>
      <c r="L405" t="s">
        <v>20</v>
      </c>
      <c r="M405" t="s">
        <v>21</v>
      </c>
      <c r="N405" t="s">
        <v>479</v>
      </c>
      <c r="O405">
        <v>30000</v>
      </c>
    </row>
    <row r="406" spans="1:15" x14ac:dyDescent="0.25">
      <c r="A406" s="9" t="s">
        <v>887</v>
      </c>
      <c r="B406" t="s">
        <v>435</v>
      </c>
      <c r="C406" t="s">
        <v>34</v>
      </c>
      <c r="D406" t="s">
        <v>14</v>
      </c>
      <c r="E406" t="s">
        <v>54</v>
      </c>
      <c r="F406" t="s">
        <v>25</v>
      </c>
      <c r="G406" s="8">
        <v>45517</v>
      </c>
      <c r="H406" s="8">
        <v>45337</v>
      </c>
      <c r="I406" t="s">
        <v>17</v>
      </c>
      <c r="J406" t="s">
        <v>18</v>
      </c>
      <c r="K406" t="s">
        <v>19</v>
      </c>
      <c r="L406" t="s">
        <v>20</v>
      </c>
      <c r="M406" t="s">
        <v>21</v>
      </c>
      <c r="N406" t="s">
        <v>479</v>
      </c>
      <c r="O406">
        <v>30000</v>
      </c>
    </row>
    <row r="407" spans="1:15" x14ac:dyDescent="0.25">
      <c r="A407" s="9" t="s">
        <v>888</v>
      </c>
      <c r="B407" t="s">
        <v>436</v>
      </c>
      <c r="C407" t="s">
        <v>28</v>
      </c>
      <c r="D407" t="s">
        <v>14</v>
      </c>
      <c r="E407" t="s">
        <v>54</v>
      </c>
      <c r="F407" t="s">
        <v>25</v>
      </c>
      <c r="G407" s="8">
        <v>45519</v>
      </c>
      <c r="H407" s="8">
        <v>45339</v>
      </c>
      <c r="I407" t="s">
        <v>17</v>
      </c>
      <c r="J407" t="s">
        <v>18</v>
      </c>
      <c r="K407" t="s">
        <v>26</v>
      </c>
      <c r="L407" t="s">
        <v>20</v>
      </c>
      <c r="M407" t="s">
        <v>21</v>
      </c>
      <c r="N407" t="s">
        <v>479</v>
      </c>
      <c r="O407">
        <v>30000</v>
      </c>
    </row>
    <row r="408" spans="1:15" x14ac:dyDescent="0.25">
      <c r="A408" s="9" t="s">
        <v>889</v>
      </c>
      <c r="B408" t="s">
        <v>437</v>
      </c>
      <c r="C408" t="s">
        <v>28</v>
      </c>
      <c r="D408" t="s">
        <v>14</v>
      </c>
      <c r="E408" t="s">
        <v>54</v>
      </c>
      <c r="F408" t="s">
        <v>25</v>
      </c>
      <c r="G408" s="8">
        <v>45535</v>
      </c>
      <c r="H408" s="8">
        <v>45355</v>
      </c>
      <c r="I408" t="s">
        <v>17</v>
      </c>
      <c r="J408" t="s">
        <v>18</v>
      </c>
      <c r="K408" t="s">
        <v>30</v>
      </c>
      <c r="L408" t="s">
        <v>20</v>
      </c>
      <c r="M408" t="s">
        <v>21</v>
      </c>
      <c r="N408" t="s">
        <v>479</v>
      </c>
      <c r="O408">
        <v>30000</v>
      </c>
    </row>
    <row r="409" spans="1:15" x14ac:dyDescent="0.25">
      <c r="A409" s="9" t="s">
        <v>890</v>
      </c>
      <c r="B409" t="s">
        <v>438</v>
      </c>
      <c r="C409" t="s">
        <v>23</v>
      </c>
      <c r="D409" t="s">
        <v>439</v>
      </c>
      <c r="E409" t="s">
        <v>15</v>
      </c>
      <c r="F409" t="s">
        <v>25</v>
      </c>
      <c r="G409" s="8">
        <v>45579</v>
      </c>
      <c r="H409" s="8">
        <v>45399</v>
      </c>
      <c r="I409" t="s">
        <v>17</v>
      </c>
      <c r="J409" t="s">
        <v>18</v>
      </c>
      <c r="K409" t="s">
        <v>19</v>
      </c>
      <c r="L409" t="s">
        <v>167</v>
      </c>
      <c r="M409" t="s">
        <v>32</v>
      </c>
      <c r="N409" t="s">
        <v>479</v>
      </c>
      <c r="O409">
        <v>30000</v>
      </c>
    </row>
    <row r="410" spans="1:15" x14ac:dyDescent="0.25">
      <c r="A410" s="9" t="s">
        <v>891</v>
      </c>
      <c r="B410" t="s">
        <v>892</v>
      </c>
      <c r="C410" t="s">
        <v>34</v>
      </c>
      <c r="D410" t="s">
        <v>111</v>
      </c>
      <c r="E410" t="s">
        <v>24</v>
      </c>
      <c r="F410" t="s">
        <v>25</v>
      </c>
      <c r="G410" s="8">
        <v>45594</v>
      </c>
      <c r="H410" s="8">
        <v>45414</v>
      </c>
      <c r="I410" t="s">
        <v>17</v>
      </c>
      <c r="J410" t="s">
        <v>29</v>
      </c>
      <c r="K410" t="s">
        <v>30</v>
      </c>
      <c r="L410" t="s">
        <v>440</v>
      </c>
      <c r="M410" t="s">
        <v>70</v>
      </c>
      <c r="N410" t="s">
        <v>479</v>
      </c>
      <c r="O410">
        <v>30000</v>
      </c>
    </row>
  </sheetData>
  <conditionalFormatting sqref="A1:A19 A21:A1048576 R8">
    <cfRule type="duplicateValues" dxfId="6" priority="3"/>
  </conditionalFormatting>
  <conditionalFormatting sqref="R7">
    <cfRule type="duplicateValues" dxfId="5" priority="2"/>
  </conditionalFormatting>
  <conditionalFormatting sqref="A20">
    <cfRule type="duplicateValues" dxfId="4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35E9-EAE4-4BBF-ACF3-B41962D40CC3}">
  <sheetPr codeName="Sheet3"/>
  <dimension ref="G8:I9"/>
  <sheetViews>
    <sheetView workbookViewId="0">
      <selection activeCell="H11" sqref="H11"/>
    </sheetView>
  </sheetViews>
  <sheetFormatPr defaultRowHeight="15" x14ac:dyDescent="0.25"/>
  <cols>
    <col min="8" max="8" width="28.28515625" customWidth="1"/>
    <col min="9" max="9" width="25.42578125" customWidth="1"/>
  </cols>
  <sheetData>
    <row r="8" spans="7:9" x14ac:dyDescent="0.25">
      <c r="H8" t="s">
        <v>0</v>
      </c>
      <c r="I8" t="s">
        <v>1</v>
      </c>
    </row>
    <row r="9" spans="7:9" x14ac:dyDescent="0.25">
      <c r="G9" t="s">
        <v>499</v>
      </c>
      <c r="H9" t="str">
        <f>_xlfn.XLOOKUP(G9,HR!A2:A410,HR!B2:B410)</f>
        <v>Reduyan Ahmed Ajmir</v>
      </c>
      <c r="I9" t="str">
        <f>_xlfn.XLOOKUP(G9,HR!A2:A410,HR!C2:C410)</f>
        <v>Administration Dept.</v>
      </c>
    </row>
  </sheetData>
  <conditionalFormatting sqref="G9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C088-4D1D-4070-8A25-7CD029DC52DC}">
  <sheetPr codeName="Sheet1"/>
  <dimension ref="B2:Y29"/>
  <sheetViews>
    <sheetView showGridLines="0" zoomScale="130" zoomScaleNormal="130" workbookViewId="0">
      <selection activeCell="T20" sqref="T20"/>
    </sheetView>
  </sheetViews>
  <sheetFormatPr defaultRowHeight="15" x14ac:dyDescent="0.25"/>
  <cols>
    <col min="2" max="2" width="8.28515625" customWidth="1"/>
    <col min="3" max="3" width="9.140625" customWidth="1"/>
    <col min="4" max="4" width="11" customWidth="1"/>
    <col min="5" max="5" width="9" customWidth="1"/>
    <col min="7" max="7" width="6" bestFit="1" customWidth="1"/>
    <col min="8" max="8" width="5.7109375" bestFit="1" customWidth="1"/>
    <col min="9" max="9" width="8.42578125" bestFit="1" customWidth="1"/>
    <col min="10" max="10" width="17.42578125" customWidth="1"/>
    <col min="14" max="14" width="8.42578125" bestFit="1" customWidth="1"/>
    <col min="15" max="15" width="6.42578125" bestFit="1" customWidth="1"/>
    <col min="16" max="16" width="8.42578125" bestFit="1" customWidth="1"/>
    <col min="17" max="17" width="6.28515625" bestFit="1" customWidth="1"/>
    <col min="18" max="19" width="6" bestFit="1" customWidth="1"/>
    <col min="23" max="23" width="9.28515625" customWidth="1"/>
    <col min="24" max="24" width="11.5703125" customWidth="1"/>
  </cols>
  <sheetData>
    <row r="2" spans="2:25" x14ac:dyDescent="0.25">
      <c r="B2" s="2" t="s">
        <v>449</v>
      </c>
      <c r="C2" s="2" t="s">
        <v>0</v>
      </c>
      <c r="D2" s="2" t="s">
        <v>450</v>
      </c>
      <c r="E2" s="2" t="s">
        <v>451</v>
      </c>
      <c r="G2">
        <f>_xlfn.XLOOKUP(104, B2:B9, E2:E9)</f>
        <v>51000</v>
      </c>
      <c r="I2" t="s">
        <v>449</v>
      </c>
      <c r="J2" t="s">
        <v>451</v>
      </c>
    </row>
    <row r="3" spans="2:25" x14ac:dyDescent="0.25">
      <c r="B3" s="2">
        <v>101</v>
      </c>
      <c r="C3" s="2" t="s">
        <v>441</v>
      </c>
      <c r="D3" s="2" t="s">
        <v>442</v>
      </c>
      <c r="E3" s="2">
        <v>55000</v>
      </c>
      <c r="I3">
        <v>102</v>
      </c>
      <c r="J3">
        <f>_xlfn.XLOOKUP(I3,B2:B9,E2:E9)</f>
        <v>44434</v>
      </c>
      <c r="K3" t="s">
        <v>452</v>
      </c>
      <c r="M3" s="2" t="s">
        <v>449</v>
      </c>
      <c r="N3" s="2">
        <v>101</v>
      </c>
      <c r="O3" s="2">
        <v>102</v>
      </c>
      <c r="P3" s="2">
        <v>102</v>
      </c>
      <c r="Q3" s="2">
        <v>103</v>
      </c>
      <c r="R3" s="2">
        <v>104</v>
      </c>
      <c r="S3" s="2">
        <v>105</v>
      </c>
    </row>
    <row r="4" spans="2:25" x14ac:dyDescent="0.25">
      <c r="B4" s="2">
        <v>102</v>
      </c>
      <c r="C4" s="2" t="s">
        <v>443</v>
      </c>
      <c r="D4" s="2" t="s">
        <v>444</v>
      </c>
      <c r="E4" s="2">
        <v>44434</v>
      </c>
      <c r="I4">
        <v>102</v>
      </c>
      <c r="J4">
        <f>VLOOKUP(I4,B2:E9,4,0)</f>
        <v>44434</v>
      </c>
      <c r="K4" t="s">
        <v>453</v>
      </c>
      <c r="M4" s="2" t="s">
        <v>0</v>
      </c>
      <c r="N4" s="2" t="s">
        <v>441</v>
      </c>
      <c r="O4" s="2" t="s">
        <v>443</v>
      </c>
      <c r="P4" s="2" t="s">
        <v>443</v>
      </c>
      <c r="Q4" s="2" t="s">
        <v>445</v>
      </c>
      <c r="R4" s="2" t="s">
        <v>446</v>
      </c>
      <c r="S4" s="2" t="s">
        <v>448</v>
      </c>
    </row>
    <row r="5" spans="2:25" x14ac:dyDescent="0.25">
      <c r="B5" s="2">
        <v>102</v>
      </c>
      <c r="C5" s="2" t="s">
        <v>443</v>
      </c>
      <c r="D5" s="2" t="s">
        <v>442</v>
      </c>
      <c r="E5" s="2">
        <v>22</v>
      </c>
      <c r="I5">
        <v>102</v>
      </c>
      <c r="J5">
        <f ca="1">SUMIF(B2:E9,I5,E2:E9)</f>
        <v>44456</v>
      </c>
      <c r="K5" t="s">
        <v>454</v>
      </c>
      <c r="M5" s="2" t="s">
        <v>450</v>
      </c>
      <c r="N5" s="2" t="s">
        <v>442</v>
      </c>
      <c r="O5" s="2" t="s">
        <v>444</v>
      </c>
      <c r="P5" s="2" t="s">
        <v>442</v>
      </c>
      <c r="Q5" s="2" t="s">
        <v>442</v>
      </c>
      <c r="R5" s="2" t="s">
        <v>447</v>
      </c>
      <c r="S5" s="2" t="s">
        <v>444</v>
      </c>
    </row>
    <row r="6" spans="2:25" x14ac:dyDescent="0.25">
      <c r="B6" s="2">
        <v>103</v>
      </c>
      <c r="C6" s="2" t="s">
        <v>445</v>
      </c>
      <c r="D6" s="2" t="s">
        <v>442</v>
      </c>
      <c r="E6" s="2">
        <v>48000</v>
      </c>
      <c r="H6" t="s">
        <v>442</v>
      </c>
      <c r="I6">
        <v>102</v>
      </c>
      <c r="J6">
        <f>SUMIFS(E3:E9,B3:B9,I6,D3:D9,H6)</f>
        <v>22</v>
      </c>
      <c r="K6" t="s">
        <v>455</v>
      </c>
      <c r="M6" s="2" t="s">
        <v>451</v>
      </c>
      <c r="N6" s="2">
        <v>55000</v>
      </c>
      <c r="O6" s="2">
        <v>44434</v>
      </c>
      <c r="P6" s="2">
        <v>22</v>
      </c>
      <c r="Q6" s="2">
        <v>48000</v>
      </c>
      <c r="R6" s="2">
        <v>51000</v>
      </c>
      <c r="S6" s="2">
        <v>85000</v>
      </c>
      <c r="W6" t="s">
        <v>896</v>
      </c>
      <c r="X6" t="s">
        <v>456</v>
      </c>
      <c r="Y6" t="s">
        <v>452</v>
      </c>
    </row>
    <row r="7" spans="2:25" x14ac:dyDescent="0.25">
      <c r="B7" s="2">
        <v>104</v>
      </c>
      <c r="C7" s="2" t="s">
        <v>446</v>
      </c>
      <c r="D7" s="2" t="s">
        <v>447</v>
      </c>
      <c r="E7" s="2">
        <v>51000</v>
      </c>
      <c r="N7" t="s">
        <v>449</v>
      </c>
    </row>
    <row r="8" spans="2:25" x14ac:dyDescent="0.25">
      <c r="B8" s="2">
        <v>104</v>
      </c>
      <c r="C8" s="2" t="s">
        <v>446</v>
      </c>
      <c r="D8" s="2" t="s">
        <v>459</v>
      </c>
      <c r="E8" s="2">
        <v>52405</v>
      </c>
    </row>
    <row r="9" spans="2:25" x14ac:dyDescent="0.25">
      <c r="B9" s="2">
        <v>105</v>
      </c>
      <c r="C9" s="2" t="s">
        <v>448</v>
      </c>
      <c r="D9" s="2" t="s">
        <v>444</v>
      </c>
      <c r="E9" s="2">
        <v>85000</v>
      </c>
      <c r="N9">
        <v>105</v>
      </c>
      <c r="O9" t="str">
        <f>HLOOKUP(N9,M3:S6,2,FALSE)</f>
        <v>Brian</v>
      </c>
      <c r="P9" t="s">
        <v>456</v>
      </c>
      <c r="W9" t="s">
        <v>449</v>
      </c>
      <c r="X9" t="s">
        <v>0</v>
      </c>
      <c r="Y9" t="s">
        <v>1</v>
      </c>
    </row>
    <row r="10" spans="2:25" x14ac:dyDescent="0.25">
      <c r="W10" s="9">
        <v>102</v>
      </c>
      <c r="X10" t="str">
        <f>VLOOKUP(W10,B2:C9,2,1)</f>
        <v>James</v>
      </c>
      <c r="Y10" t="str">
        <f>VLOOKUP(W10,B2:E9,3,0)</f>
        <v>Tech</v>
      </c>
    </row>
    <row r="11" spans="2:25" x14ac:dyDescent="0.25">
      <c r="H11" t="s">
        <v>457</v>
      </c>
      <c r="O11" t="s">
        <v>459</v>
      </c>
      <c r="Q11" t="s">
        <v>449</v>
      </c>
      <c r="W11">
        <v>104</v>
      </c>
      <c r="X11" t="str">
        <f>VLOOKUP(W11,B3:C10,2,1)</f>
        <v>Alex</v>
      </c>
      <c r="Y11" t="str">
        <f>VLOOKUP(W11,B3:E10,3,0)</f>
        <v>HR</v>
      </c>
    </row>
    <row r="12" spans="2:25" x14ac:dyDescent="0.25">
      <c r="I12" t="s">
        <v>458</v>
      </c>
      <c r="J12" s="1" t="s">
        <v>459</v>
      </c>
      <c r="N12" t="s">
        <v>458</v>
      </c>
      <c r="O12" s="2" t="s">
        <v>442</v>
      </c>
      <c r="Q12" s="2">
        <v>102</v>
      </c>
      <c r="W12">
        <v>105</v>
      </c>
      <c r="X12" t="str">
        <f>VLOOKUP(W12,B4:C11,2,1)</f>
        <v>Brian</v>
      </c>
      <c r="Y12" t="str">
        <f>VLOOKUP(W12,B4:E11,3,0)</f>
        <v>Tech</v>
      </c>
    </row>
    <row r="14" spans="2:25" x14ac:dyDescent="0.25">
      <c r="C14" t="s">
        <v>897</v>
      </c>
      <c r="D14" s="2" t="s">
        <v>447</v>
      </c>
      <c r="I14" s="2" t="s">
        <v>449</v>
      </c>
      <c r="J14" s="2" t="s">
        <v>0</v>
      </c>
      <c r="K14" s="2" t="s">
        <v>450</v>
      </c>
      <c r="L14" s="2" t="s">
        <v>451</v>
      </c>
      <c r="N14" s="2" t="s">
        <v>449</v>
      </c>
      <c r="O14" s="2" t="s">
        <v>0</v>
      </c>
      <c r="P14" s="2" t="s">
        <v>450</v>
      </c>
      <c r="Q14" s="2" t="s">
        <v>451</v>
      </c>
      <c r="W14">
        <v>104</v>
      </c>
      <c r="X14" t="str">
        <f>_xlfn.XLOOKUP(W14,B2:B9,D2:D9)</f>
        <v>HR</v>
      </c>
      <c r="Y14">
        <f>_xlfn.XLOOKUP(W14,B2:B9,E2:E9)</f>
        <v>51000</v>
      </c>
    </row>
    <row r="15" spans="2:25" x14ac:dyDescent="0.25">
      <c r="I15" cm="1">
        <f t="array" ref="I15:L15">_xlfn._xlws.FILTER(B2:E9,D2:D9=J12,"None")</f>
        <v>104</v>
      </c>
      <c r="J15" t="str">
        <v>Alex</v>
      </c>
      <c r="K15" t="str">
        <v>Dep</v>
      </c>
      <c r="L15">
        <v>52405</v>
      </c>
      <c r="N15" cm="1">
        <f t="array" ref="N15:Q15">_xlfn._xlws.FILTER(B2:E9,(D2:D9=O12)*(B2:B9=Q12),"None")</f>
        <v>102</v>
      </c>
      <c r="O15" t="str">
        <v>James</v>
      </c>
      <c r="P15" t="str">
        <v>Sales</v>
      </c>
      <c r="Q15">
        <v>22</v>
      </c>
    </row>
    <row r="17" spans="2:25" x14ac:dyDescent="0.25">
      <c r="B17" s="2" t="s">
        <v>449</v>
      </c>
      <c r="C17" s="2" t="s">
        <v>0</v>
      </c>
      <c r="D17" s="2" t="s">
        <v>450</v>
      </c>
      <c r="E17" s="2" t="s">
        <v>451</v>
      </c>
    </row>
    <row r="18" spans="2:25" x14ac:dyDescent="0.25">
      <c r="B18" cm="1">
        <f t="array" ref="B18:E18">_xlfn._xlws.FILTER(B2:E9,D2:D9=D14,"Not Match")</f>
        <v>104</v>
      </c>
      <c r="C18" t="str">
        <v>Alex</v>
      </c>
      <c r="D18" t="str">
        <v>HR</v>
      </c>
      <c r="E18">
        <v>51000</v>
      </c>
      <c r="Y18">
        <v>103405</v>
      </c>
    </row>
    <row r="19" spans="2:25" x14ac:dyDescent="0.25">
      <c r="I19" t="s">
        <v>458</v>
      </c>
      <c r="J19" t="s">
        <v>460</v>
      </c>
      <c r="O19" t="s">
        <v>460</v>
      </c>
    </row>
    <row r="20" spans="2:25" x14ac:dyDescent="0.25">
      <c r="W20">
        <v>104</v>
      </c>
      <c r="Y20">
        <f ca="1">SUMIF(B3:E9,W20,E3:E9)</f>
        <v>103405</v>
      </c>
    </row>
    <row r="21" spans="2:25" x14ac:dyDescent="0.25">
      <c r="N21" s="2" t="s">
        <v>449</v>
      </c>
      <c r="O21" s="2" t="s">
        <v>0</v>
      </c>
      <c r="P21" s="2" t="s">
        <v>450</v>
      </c>
      <c r="Q21" s="2" t="s">
        <v>451</v>
      </c>
      <c r="W21">
        <v>102</v>
      </c>
      <c r="Y21">
        <f ca="1">SUMIF(B4:E10,W21,E4:E10)</f>
        <v>44456</v>
      </c>
    </row>
    <row r="22" spans="2:25" x14ac:dyDescent="0.25">
      <c r="I22" s="2" t="str" cm="1">
        <f t="array" ref="I22:L29">_xlfn._xlws.FILTER(B2:E9,ISNUMBER(SEARCH(J19,C2:C9)),"Not Match")</f>
        <v>ID</v>
      </c>
      <c r="J22" s="2" t="str">
        <v>Name</v>
      </c>
      <c r="K22" s="2" t="str">
        <v>Dept</v>
      </c>
      <c r="L22" s="2" t="str">
        <v>Salary</v>
      </c>
      <c r="N22" cm="1">
        <f t="array" ref="N22:Q28">_xlfn._xlws.FILTER(B3:E9, (ISNUMBER(SEARCH(O19,B3:B9)) + ISNUMBER(SEARCH(O19,C3:C9)) + ISNUMBER(SEARCH(O19,D3:D9)) + ISNUMBER(SEARCH(O19,E3:E9))), "Not Match")</f>
        <v>101</v>
      </c>
      <c r="O22" t="str">
        <v>Sarah</v>
      </c>
      <c r="P22" t="str">
        <v>Sales</v>
      </c>
      <c r="Q22">
        <v>55000</v>
      </c>
    </row>
    <row r="23" spans="2:25" x14ac:dyDescent="0.25">
      <c r="I23">
        <v>101</v>
      </c>
      <c r="J23" t="str">
        <v>Sarah</v>
      </c>
      <c r="K23" t="str">
        <v>Sales</v>
      </c>
      <c r="L23">
        <v>55000</v>
      </c>
      <c r="N23">
        <v>102</v>
      </c>
      <c r="O23" t="str">
        <v>James</v>
      </c>
      <c r="P23" t="str">
        <v>Tech</v>
      </c>
      <c r="Q23">
        <v>44434</v>
      </c>
    </row>
    <row r="24" spans="2:25" x14ac:dyDescent="0.25">
      <c r="I24">
        <v>102</v>
      </c>
      <c r="J24" t="str">
        <v>James</v>
      </c>
      <c r="K24" t="str">
        <v>Tech</v>
      </c>
      <c r="L24">
        <v>44434</v>
      </c>
      <c r="N24">
        <v>102</v>
      </c>
      <c r="O24" t="str">
        <v>James</v>
      </c>
      <c r="P24" t="str">
        <v>Sales</v>
      </c>
      <c r="Q24">
        <v>22</v>
      </c>
    </row>
    <row r="25" spans="2:25" x14ac:dyDescent="0.25">
      <c r="I25">
        <v>102</v>
      </c>
      <c r="J25" t="str">
        <v>James</v>
      </c>
      <c r="K25" t="str">
        <v>Sales</v>
      </c>
      <c r="L25">
        <v>22</v>
      </c>
      <c r="N25">
        <v>103</v>
      </c>
      <c r="O25" t="str">
        <v>Maria</v>
      </c>
      <c r="P25" t="str">
        <v>Sales</v>
      </c>
      <c r="Q25">
        <v>48000</v>
      </c>
    </row>
    <row r="26" spans="2:25" x14ac:dyDescent="0.25">
      <c r="I26">
        <v>103</v>
      </c>
      <c r="J26" t="str">
        <v>Maria</v>
      </c>
      <c r="K26" t="str">
        <v>Sales</v>
      </c>
      <c r="L26">
        <v>48000</v>
      </c>
      <c r="N26">
        <v>104</v>
      </c>
      <c r="O26" t="str">
        <v>Alex</v>
      </c>
      <c r="P26" t="str">
        <v>HR</v>
      </c>
      <c r="Q26">
        <v>51000</v>
      </c>
    </row>
    <row r="27" spans="2:25" x14ac:dyDescent="0.25">
      <c r="I27">
        <v>104</v>
      </c>
      <c r="J27" t="str">
        <v>Alex</v>
      </c>
      <c r="K27" t="str">
        <v>HR</v>
      </c>
      <c r="L27">
        <v>51000</v>
      </c>
      <c r="N27">
        <v>104</v>
      </c>
      <c r="O27" t="str">
        <v>Alex</v>
      </c>
      <c r="P27" t="str">
        <v>Dep</v>
      </c>
      <c r="Q27">
        <v>52405</v>
      </c>
    </row>
    <row r="28" spans="2:25" x14ac:dyDescent="0.25">
      <c r="I28">
        <v>104</v>
      </c>
      <c r="J28" t="str">
        <v>Alex</v>
      </c>
      <c r="K28" t="str">
        <v>Dep</v>
      </c>
      <c r="L28">
        <v>52405</v>
      </c>
      <c r="N28">
        <v>105</v>
      </c>
      <c r="O28" t="str">
        <v>Brian</v>
      </c>
      <c r="P28" t="str">
        <v>Tech</v>
      </c>
      <c r="Q28">
        <v>85000</v>
      </c>
    </row>
    <row r="29" spans="2:25" x14ac:dyDescent="0.25">
      <c r="I29">
        <v>105</v>
      </c>
      <c r="J29" t="str">
        <v>Brian</v>
      </c>
      <c r="K29" t="str">
        <v>Tech</v>
      </c>
      <c r="L29">
        <v>85000</v>
      </c>
    </row>
  </sheetData>
  <dataConsolidate/>
  <conditionalFormatting sqref="N21:Q23">
    <cfRule type="containsText" dxfId="2" priority="2" operator="containsText" text="O18">
      <formula>NOT(ISERROR(SEARCH("O18",N21)))</formula>
    </cfRule>
  </conditionalFormatting>
  <conditionalFormatting sqref="N22:Q27">
    <cfRule type="containsText" dxfId="0" priority="3" operator="containsText" text="$O$18">
      <formula>NOT(ISERROR(SEARCH("$O$18",N22)))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extBox3">
          <controlPr defaultSize="0" autoLine="0" linkedCell="O19" r:id="rId5">
            <anchor moveWithCells="1">
              <from>
                <xdr:col>17</xdr:col>
                <xdr:colOff>104775</xdr:colOff>
                <xdr:row>15</xdr:row>
                <xdr:rowOff>114300</xdr:rowOff>
              </from>
              <to>
                <xdr:col>19</xdr:col>
                <xdr:colOff>209550</xdr:colOff>
                <xdr:row>16</xdr:row>
                <xdr:rowOff>152400</xdr:rowOff>
              </to>
            </anchor>
          </controlPr>
        </control>
      </mc:Choice>
      <mc:Fallback>
        <control shapeId="1027" r:id="rId4" name="TextBox3"/>
      </mc:Fallback>
    </mc:AlternateContent>
    <mc:AlternateContent xmlns:mc="http://schemas.openxmlformats.org/markup-compatibility/2006">
      <mc:Choice Requires="x14">
        <control shapeId="1026" r:id="rId6" name="TextBox2">
          <controlPr defaultSize="0" autoLine="0" linkedCell="O19" r:id="rId7">
            <anchor moveWithCells="1">
              <from>
                <xdr:col>13</xdr:col>
                <xdr:colOff>523875</xdr:colOff>
                <xdr:row>18</xdr:row>
                <xdr:rowOff>0</xdr:rowOff>
              </from>
              <to>
                <xdr:col>16</xdr:col>
                <xdr:colOff>323850</xdr:colOff>
                <xdr:row>19</xdr:row>
                <xdr:rowOff>38100</xdr:rowOff>
              </to>
            </anchor>
          </controlPr>
        </control>
      </mc:Choice>
      <mc:Fallback>
        <control shapeId="1026" r:id="rId6" name="TextBox2"/>
      </mc:Fallback>
    </mc:AlternateContent>
    <mc:AlternateContent xmlns:mc="http://schemas.openxmlformats.org/markup-compatibility/2006">
      <mc:Choice Requires="x14">
        <control shapeId="1025" r:id="rId8" name="TextBox1">
          <controlPr defaultSize="0" autoLine="0" linkedCell="J19" r:id="rId9">
            <anchor moveWithCells="1">
              <from>
                <xdr:col>9</xdr:col>
                <xdr:colOff>38100</xdr:colOff>
                <xdr:row>17</xdr:row>
                <xdr:rowOff>171450</xdr:rowOff>
              </from>
              <to>
                <xdr:col>9</xdr:col>
                <xdr:colOff>952500</xdr:colOff>
                <xdr:row>19</xdr:row>
                <xdr:rowOff>19050</xdr:rowOff>
              </to>
            </anchor>
          </controlPr>
        </control>
      </mc:Choice>
      <mc:Fallback>
        <control shapeId="1025" r:id="rId8" name="TextBox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5998A03-36B6-468A-B4DB-82E2D648F097}">
            <xm:f>NOT(ISERROR(SEARCH($O$19,N21)))</xm:f>
            <xm:f>$O$19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N21:Q27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079E-DC8D-4AE7-889F-B3890E6E38D2}">
  <sheetPr codeName="Sheet4"/>
  <dimension ref="C2:R18"/>
  <sheetViews>
    <sheetView workbookViewId="0">
      <selection activeCell="Q18" sqref="Q18"/>
    </sheetView>
  </sheetViews>
  <sheetFormatPr defaultRowHeight="15" x14ac:dyDescent="0.25"/>
  <cols>
    <col min="9" max="9" width="18.140625" bestFit="1" customWidth="1"/>
    <col min="10" max="10" width="12.7109375" bestFit="1" customWidth="1"/>
  </cols>
  <sheetData>
    <row r="2" spans="3:18" ht="15.75" thickBot="1" x14ac:dyDescent="0.3">
      <c r="C2" s="2" t="s">
        <v>449</v>
      </c>
      <c r="D2" s="2" t="s">
        <v>0</v>
      </c>
      <c r="E2" s="2" t="s">
        <v>450</v>
      </c>
      <c r="F2" s="2" t="s">
        <v>451</v>
      </c>
    </row>
    <row r="3" spans="3:18" ht="15.75" thickBot="1" x14ac:dyDescent="0.3">
      <c r="C3" s="2">
        <v>101</v>
      </c>
      <c r="D3" s="2" t="s">
        <v>441</v>
      </c>
      <c r="E3" s="2" t="s">
        <v>442</v>
      </c>
      <c r="F3" s="2">
        <v>55000</v>
      </c>
      <c r="O3" s="4" t="s">
        <v>474</v>
      </c>
      <c r="P3" s="4" t="s">
        <v>451</v>
      </c>
      <c r="Q3" s="4" t="s">
        <v>475</v>
      </c>
      <c r="R3" s="4" t="s">
        <v>476</v>
      </c>
    </row>
    <row r="4" spans="3:18" x14ac:dyDescent="0.25">
      <c r="C4" s="2">
        <v>102</v>
      </c>
      <c r="D4" s="2" t="s">
        <v>443</v>
      </c>
      <c r="E4" s="2" t="s">
        <v>444</v>
      </c>
      <c r="F4" s="2">
        <v>44434</v>
      </c>
      <c r="I4" s="5" t="s">
        <v>451</v>
      </c>
      <c r="J4" s="5"/>
      <c r="O4">
        <v>6</v>
      </c>
      <c r="P4">
        <v>85000</v>
      </c>
      <c r="Q4">
        <v>1</v>
      </c>
      <c r="R4" s="6">
        <v>1</v>
      </c>
    </row>
    <row r="5" spans="3:18" x14ac:dyDescent="0.25">
      <c r="C5" s="2">
        <v>102</v>
      </c>
      <c r="D5" s="2" t="s">
        <v>443</v>
      </c>
      <c r="E5" s="2" t="s">
        <v>442</v>
      </c>
      <c r="F5" s="2">
        <v>22</v>
      </c>
      <c r="O5">
        <v>1</v>
      </c>
      <c r="P5">
        <v>55000</v>
      </c>
      <c r="Q5">
        <v>2</v>
      </c>
      <c r="R5" s="6">
        <v>0.8</v>
      </c>
    </row>
    <row r="6" spans="3:18" x14ac:dyDescent="0.25">
      <c r="C6" s="2">
        <v>103</v>
      </c>
      <c r="D6" s="2" t="s">
        <v>445</v>
      </c>
      <c r="E6" s="2" t="s">
        <v>442</v>
      </c>
      <c r="F6" s="2">
        <v>48000</v>
      </c>
      <c r="I6" t="s">
        <v>461</v>
      </c>
      <c r="J6">
        <v>47242.666666666664</v>
      </c>
      <c r="O6">
        <v>5</v>
      </c>
      <c r="P6">
        <v>51000</v>
      </c>
      <c r="Q6">
        <v>3</v>
      </c>
      <c r="R6" s="6">
        <v>0.6</v>
      </c>
    </row>
    <row r="7" spans="3:18" x14ac:dyDescent="0.25">
      <c r="C7" s="2">
        <v>104</v>
      </c>
      <c r="D7" s="2" t="s">
        <v>446</v>
      </c>
      <c r="E7" s="2" t="s">
        <v>447</v>
      </c>
      <c r="F7" s="2">
        <v>51000</v>
      </c>
      <c r="I7" t="s">
        <v>462</v>
      </c>
      <c r="J7">
        <v>11162.681155429364</v>
      </c>
      <c r="O7">
        <v>4</v>
      </c>
      <c r="P7">
        <v>48000</v>
      </c>
      <c r="Q7">
        <v>4</v>
      </c>
      <c r="R7" s="6">
        <v>0.4</v>
      </c>
    </row>
    <row r="8" spans="3:18" x14ac:dyDescent="0.25">
      <c r="C8" s="2">
        <v>105</v>
      </c>
      <c r="D8" s="2" t="s">
        <v>448</v>
      </c>
      <c r="E8" s="2" t="s">
        <v>444</v>
      </c>
      <c r="F8" s="2">
        <v>85000</v>
      </c>
      <c r="I8" t="s">
        <v>463</v>
      </c>
      <c r="J8">
        <v>49500</v>
      </c>
      <c r="O8">
        <v>2</v>
      </c>
      <c r="P8">
        <v>44434</v>
      </c>
      <c r="Q8">
        <v>5</v>
      </c>
      <c r="R8" s="6">
        <v>0.2</v>
      </c>
    </row>
    <row r="9" spans="3:18" ht="15.75" thickBot="1" x14ac:dyDescent="0.3">
      <c r="I9" t="s">
        <v>464</v>
      </c>
      <c r="J9" t="e">
        <v>#N/A</v>
      </c>
      <c r="O9" s="3">
        <v>3</v>
      </c>
      <c r="P9" s="3">
        <v>22</v>
      </c>
      <c r="Q9" s="3">
        <v>6</v>
      </c>
      <c r="R9" s="7">
        <v>0</v>
      </c>
    </row>
    <row r="10" spans="3:18" x14ac:dyDescent="0.25">
      <c r="I10" t="s">
        <v>465</v>
      </c>
      <c r="J10">
        <v>27342.872992183296</v>
      </c>
    </row>
    <row r="11" spans="3:18" x14ac:dyDescent="0.25">
      <c r="I11" t="s">
        <v>466</v>
      </c>
      <c r="J11">
        <v>747632703.46666682</v>
      </c>
    </row>
    <row r="12" spans="3:18" x14ac:dyDescent="0.25">
      <c r="I12" t="s">
        <v>467</v>
      </c>
      <c r="J12">
        <v>2.5266759453051648</v>
      </c>
    </row>
    <row r="13" spans="3:18" x14ac:dyDescent="0.25">
      <c r="I13" t="s">
        <v>468</v>
      </c>
      <c r="J13">
        <v>-0.74795386318998058</v>
      </c>
    </row>
    <row r="14" spans="3:18" x14ac:dyDescent="0.25">
      <c r="I14" t="s">
        <v>469</v>
      </c>
      <c r="J14">
        <v>84978</v>
      </c>
    </row>
    <row r="15" spans="3:18" x14ac:dyDescent="0.25">
      <c r="I15" t="s">
        <v>470</v>
      </c>
      <c r="J15">
        <v>22</v>
      </c>
    </row>
    <row r="16" spans="3:18" x14ac:dyDescent="0.25">
      <c r="I16" t="s">
        <v>471</v>
      </c>
      <c r="J16">
        <v>85000</v>
      </c>
    </row>
    <row r="17" spans="9:10" x14ac:dyDescent="0.25">
      <c r="I17" t="s">
        <v>472</v>
      </c>
      <c r="J17">
        <v>283456</v>
      </c>
    </row>
    <row r="18" spans="9:10" ht="15.75" thickBot="1" x14ac:dyDescent="0.3">
      <c r="I18" s="3" t="s">
        <v>473</v>
      </c>
      <c r="J18" s="3">
        <v>6</v>
      </c>
    </row>
  </sheetData>
  <sortState xmlns:xlrd2="http://schemas.microsoft.com/office/spreadsheetml/2017/richdata2" ref="O4:R9">
    <sortCondition ref="Q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</vt:lpstr>
      <vt:lpstr>Sheet1</vt:lpstr>
      <vt:lpstr>Formula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Anisur Rahman</dc:creator>
  <cp:lastModifiedBy>Md Anisur Rahman</cp:lastModifiedBy>
  <dcterms:created xsi:type="dcterms:W3CDTF">2015-06-05T18:17:20Z</dcterms:created>
  <dcterms:modified xsi:type="dcterms:W3CDTF">2026-03-06T17:40:06Z</dcterms:modified>
</cp:coreProperties>
</file>